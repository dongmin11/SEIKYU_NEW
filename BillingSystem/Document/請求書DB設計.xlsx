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車dongmin\Work\BillingSystem\Document\"/>
    </mc:Choice>
  </mc:AlternateContent>
  <bookViews>
    <workbookView xWindow="0" yWindow="0" windowWidth="12828" windowHeight="10236" tabRatio="844" firstSheet="7" activeTab="11"/>
  </bookViews>
  <sheets>
    <sheet name="改訂履歴" sheetId="1" r:id="rId1"/>
    <sheet name="コードマスタ" sheetId="2" r:id="rId2"/>
    <sheet name="口座マスタ" sheetId="3" r:id="rId3"/>
    <sheet name="会社マスタ" sheetId="4" r:id="rId4"/>
    <sheet name="ユーザーマスタ" sheetId="5" r:id="rId5"/>
    <sheet name="作業員マスタ" sheetId="6" r:id="rId6"/>
    <sheet name="社員プロジェクトマスタ" sheetId="7" r:id="rId7"/>
    <sheet name="請求先マスタ" sheetId="8" r:id="rId8"/>
    <sheet name="部署マスタ" sheetId="9" r:id="rId9"/>
    <sheet name="プロジェクトマスタ" sheetId="10" r:id="rId10"/>
    <sheet name="支払区分" sheetId="11" r:id="rId11"/>
    <sheet name="請求書" sheetId="12" r:id="rId12"/>
    <sheet name="請求書明細" sheetId="13" r:id="rId13"/>
    <sheet name="ファイルデータ" sheetId="14" r:id="rId14"/>
    <sheet name="説明" sheetId="15" r:id="rId15"/>
  </sheets>
  <externalReferences>
    <externalReference r:id="rId16"/>
  </externalReferences>
  <definedNames>
    <definedName name="_xlnm.Print_Area" localSheetId="1">コードマスタ!$A$1:$P$46</definedName>
    <definedName name="_xlnm.Print_Area" localSheetId="13">ファイルデータ!$A$1:$P$41</definedName>
    <definedName name="_xlnm.Print_Area" localSheetId="9">プロジェクトマスタ!$A$1:$P$41</definedName>
    <definedName name="_xlnm.Print_Area" localSheetId="4">ユーザーマスタ!$A$1:$P$41</definedName>
    <definedName name="_xlnm.Print_Area" localSheetId="3">会社マスタ!$A$1:$P$41</definedName>
    <definedName name="_xlnm.Print_Area" localSheetId="2">口座マスタ!$A$1:$P$41</definedName>
    <definedName name="_xlnm.Print_Area" localSheetId="5">作業員マスタ!$A$1:$P$41</definedName>
    <definedName name="_xlnm.Print_Area" localSheetId="10">支払区分!$A$1:$P$41</definedName>
    <definedName name="_xlnm.Print_Area" localSheetId="6">社員プロジェクトマスタ!$A$1:$P$41</definedName>
    <definedName name="_xlnm.Print_Area" localSheetId="11">請求書!$A$1:$P$60</definedName>
    <definedName name="_xlnm.Print_Area" localSheetId="12">請求書明細!$A$1:$P$46</definedName>
    <definedName name="_xlnm.Print_Area" localSheetId="7">請求先マスタ!$A$1:$P$41</definedName>
    <definedName name="_xlnm.Print_Area" localSheetId="8">部署マスタ!$A$1:$P$41</definedName>
    <definedName name="共通フッタ">[1]設定!$C$5:$C$5</definedName>
    <definedName name="排他制御">[1]設定!$C$6:$C$8</definedName>
  </definedNames>
  <calcPr calcId="152511"/>
</workbook>
</file>

<file path=xl/calcChain.xml><?xml version="1.0" encoding="utf-8"?>
<calcChain xmlns="http://schemas.openxmlformats.org/spreadsheetml/2006/main">
  <c r="A17" i="12" l="1"/>
  <c r="A41" i="14" l="1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H6" i="14"/>
  <c r="E4" i="14"/>
  <c r="C4" i="14"/>
  <c r="D2" i="14"/>
  <c r="D1" i="14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H6" i="13"/>
  <c r="E4" i="13"/>
  <c r="C4" i="13"/>
  <c r="D2" i="13"/>
  <c r="D1" i="13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6" i="12"/>
  <c r="A15" i="12"/>
  <c r="A14" i="12"/>
  <c r="A13" i="12"/>
  <c r="A12" i="12"/>
  <c r="A11" i="12"/>
  <c r="A10" i="12"/>
  <c r="H6" i="12"/>
  <c r="E4" i="12"/>
  <c r="C4" i="12"/>
  <c r="D2" i="12"/>
  <c r="D1" i="12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H6" i="11"/>
  <c r="E4" i="11"/>
  <c r="C4" i="11"/>
  <c r="D2" i="11"/>
  <c r="D1" i="11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H6" i="10"/>
  <c r="E4" i="10"/>
  <c r="C4" i="10"/>
  <c r="D2" i="10"/>
  <c r="D1" i="10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H6" i="9"/>
  <c r="E4" i="9"/>
  <c r="C4" i="9"/>
  <c r="D2" i="9"/>
  <c r="D1" i="9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H6" i="8"/>
  <c r="E4" i="8"/>
  <c r="C4" i="8"/>
  <c r="D2" i="8"/>
  <c r="D1" i="8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H6" i="7"/>
  <c r="E4" i="7"/>
  <c r="C4" i="7"/>
  <c r="D2" i="7"/>
  <c r="D1" i="7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H6" i="6"/>
  <c r="E4" i="6"/>
  <c r="C4" i="6"/>
  <c r="D2" i="6"/>
  <c r="D1" i="6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H6" i="5"/>
  <c r="E4" i="5"/>
  <c r="C4" i="5"/>
  <c r="D2" i="5"/>
  <c r="D1" i="5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H6" i="4"/>
  <c r="E4" i="4"/>
  <c r="C4" i="4"/>
  <c r="D2" i="4"/>
  <c r="D1" i="4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H6" i="3"/>
  <c r="E4" i="3"/>
  <c r="C4" i="3"/>
  <c r="D2" i="3"/>
  <c r="D1" i="3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H6" i="2"/>
  <c r="E4" i="2"/>
  <c r="C4" i="2"/>
  <c r="D2" i="2"/>
  <c r="D1" i="2"/>
</calcChain>
</file>

<file path=xl/sharedStrings.xml><?xml version="1.0" encoding="utf-8"?>
<sst xmlns="http://schemas.openxmlformats.org/spreadsheetml/2006/main" count="1228" uniqueCount="331">
  <si>
    <t>テーブルレイアウト</t>
  </si>
  <si>
    <t>システム：</t>
  </si>
  <si>
    <t>作成日</t>
  </si>
  <si>
    <t>請求書発行システム</t>
  </si>
  <si>
    <t>作成者</t>
  </si>
  <si>
    <t>更新日</t>
  </si>
  <si>
    <t>ﾌﾟﾛｼﾞｪｸﾄ名：</t>
  </si>
  <si>
    <t>請求システム</t>
  </si>
  <si>
    <t>英語名：</t>
  </si>
  <si>
    <t>BillingSystem</t>
  </si>
  <si>
    <t>更新者</t>
  </si>
  <si>
    <t>フォーマット版数</t>
  </si>
  <si>
    <t>スキーマ</t>
  </si>
  <si>
    <t>dbo</t>
  </si>
  <si>
    <t>版数</t>
  </si>
  <si>
    <t>発行日</t>
  </si>
  <si>
    <t>担当者</t>
  </si>
  <si>
    <t>変更内容</t>
  </si>
  <si>
    <t>・テーブルレイアウト</t>
  </si>
  <si>
    <t>テーブル名（論理名）</t>
  </si>
  <si>
    <t>コードマスタ</t>
  </si>
  <si>
    <t>テーブルＩＤ（物理名）</t>
  </si>
  <si>
    <t>M_Code</t>
  </si>
  <si>
    <t>排他制御</t>
  </si>
  <si>
    <t>№</t>
  </si>
  <si>
    <t>項目名（論理名）</t>
  </si>
  <si>
    <t>列名（物理名）</t>
  </si>
  <si>
    <t>主キー</t>
  </si>
  <si>
    <t>データ型</t>
  </si>
  <si>
    <t>桁</t>
  </si>
  <si>
    <t>小数桁</t>
  </si>
  <si>
    <t>NULL許可</t>
  </si>
  <si>
    <t>初期値</t>
  </si>
  <si>
    <t>項目概要</t>
  </si>
  <si>
    <t>インデックス定義</t>
  </si>
  <si>
    <t>区分ID</t>
  </si>
  <si>
    <t>KindID</t>
  </si>
  <si>
    <t>○</t>
  </si>
  <si>
    <t>nvarchar</t>
  </si>
  <si>
    <t>UNIQUE</t>
  </si>
  <si>
    <t>コード</t>
  </si>
  <si>
    <t>Code</t>
  </si>
  <si>
    <t>キー1</t>
  </si>
  <si>
    <t>名称</t>
  </si>
  <si>
    <t>Name</t>
  </si>
  <si>
    <t>キー2</t>
  </si>
  <si>
    <t>表示順</t>
  </si>
  <si>
    <t>DisplayNo</t>
  </si>
  <si>
    <t>int</t>
  </si>
  <si>
    <t>キー3</t>
  </si>
  <si>
    <t>登録ユーザー</t>
  </si>
  <si>
    <t>CreatUserID</t>
  </si>
  <si>
    <t>bigint</t>
  </si>
  <si>
    <t>キー4</t>
  </si>
  <si>
    <t>登録日時</t>
  </si>
  <si>
    <t>CreatDateTime</t>
  </si>
  <si>
    <t>datetime2</t>
  </si>
  <si>
    <t>キー5</t>
  </si>
  <si>
    <t>更新ユーザー</t>
  </si>
  <si>
    <t>UpdateUserID</t>
  </si>
  <si>
    <t>キー6</t>
  </si>
  <si>
    <t>更新日時</t>
  </si>
  <si>
    <t>UpdateDateTime</t>
  </si>
  <si>
    <t>キー7</t>
  </si>
  <si>
    <t>キー8</t>
  </si>
  <si>
    <t>キー9</t>
  </si>
  <si>
    <t>キー10</t>
  </si>
  <si>
    <t>自社銀行口座マスタ</t>
  </si>
  <si>
    <t>M_BankAccount</t>
  </si>
  <si>
    <t>ID</t>
  </si>
  <si>
    <t>銀行コード</t>
  </si>
  <si>
    <t>BankCode</t>
  </si>
  <si>
    <t>銀行名</t>
  </si>
  <si>
    <t>BankName</t>
  </si>
  <si>
    <t>支店コード</t>
  </si>
  <si>
    <t>BranchCode</t>
  </si>
  <si>
    <t>支店名</t>
  </si>
  <si>
    <t>BranchName</t>
  </si>
  <si>
    <t>口座番号</t>
  </si>
  <si>
    <t>AccountNo</t>
  </si>
  <si>
    <t>名義</t>
  </si>
  <si>
    <t>AccountName</t>
  </si>
  <si>
    <t>削除フラグ</t>
  </si>
  <si>
    <t>DeleteFlag</t>
  </si>
  <si>
    <t>1:削除</t>
  </si>
  <si>
    <t>LockVer</t>
  </si>
  <si>
    <t>会社マスタ</t>
  </si>
  <si>
    <t>M_Company</t>
  </si>
  <si>
    <t>会社名</t>
  </si>
  <si>
    <t>CompanyName</t>
  </si>
  <si>
    <t>郵便番号</t>
  </si>
  <si>
    <t>PostNo</t>
  </si>
  <si>
    <t>住所</t>
  </si>
  <si>
    <t>Address</t>
  </si>
  <si>
    <t>電話番号</t>
  </si>
  <si>
    <t>Tel</t>
  </si>
  <si>
    <t>消費税率</t>
  </si>
  <si>
    <t>Tax</t>
  </si>
  <si>
    <t>decimal</t>
  </si>
  <si>
    <t>端数</t>
  </si>
  <si>
    <t>Fraction</t>
  </si>
  <si>
    <t>1:四捨五入 2:切り捨て　3:切り上げ</t>
  </si>
  <si>
    <t>インボイスNo</t>
  </si>
  <si>
    <t>InvoiceNo</t>
  </si>
  <si>
    <t>会社印ファイルID</t>
  </si>
  <si>
    <t>CompanySealID</t>
  </si>
  <si>
    <t>会社印ファイル名</t>
  </si>
  <si>
    <t>CompanySealName</t>
  </si>
  <si>
    <t>ユーザーマスタ</t>
  </si>
  <si>
    <t>M_User</t>
  </si>
  <si>
    <t>ログインID</t>
  </si>
  <si>
    <t>LoginID</t>
  </si>
  <si>
    <t>パスワード</t>
  </si>
  <si>
    <t>Password</t>
  </si>
  <si>
    <t>氏名</t>
  </si>
  <si>
    <t>UserName</t>
  </si>
  <si>
    <t>カナ氏名</t>
  </si>
  <si>
    <t>UserNameKana</t>
  </si>
  <si>
    <t>略称</t>
  </si>
  <si>
    <t>UserShortName</t>
  </si>
  <si>
    <t>部署</t>
  </si>
  <si>
    <t>Department</t>
  </si>
  <si>
    <t>1:一般　2:承認社 3:管理者</t>
  </si>
  <si>
    <t>権限フラグ</t>
  </si>
  <si>
    <t>AuthorityFlag</t>
  </si>
  <si>
    <t>9:管理者  1:一般ユーザー</t>
  </si>
  <si>
    <t>捺印ファイルID</t>
  </si>
  <si>
    <t>SealFileID</t>
  </si>
  <si>
    <t>捺印ファイル名</t>
  </si>
  <si>
    <t>SealName</t>
  </si>
  <si>
    <t>備考</t>
  </si>
  <si>
    <t>Note</t>
  </si>
  <si>
    <t>作業員マスタ</t>
  </si>
  <si>
    <t>M_Employee</t>
  </si>
  <si>
    <t>NameKana</t>
  </si>
  <si>
    <t>内線Tel</t>
  </si>
  <si>
    <t>TelNo</t>
  </si>
  <si>
    <t>社員マスタ</t>
  </si>
  <si>
    <t>M_EmployeeProject</t>
  </si>
  <si>
    <t>社員ID</t>
  </si>
  <si>
    <t>EmployeeID</t>
  </si>
  <si>
    <t>プロジェクトID</t>
  </si>
  <si>
    <t>ProjectID</t>
  </si>
  <si>
    <t>プロジェクト開始日</t>
  </si>
  <si>
    <t>StartDate</t>
  </si>
  <si>
    <t>date</t>
  </si>
  <si>
    <t>プロジェクト終了日</t>
  </si>
  <si>
    <t>EndDate</t>
  </si>
  <si>
    <t>過不足精算フラグ</t>
  </si>
  <si>
    <t>SettlementFlag</t>
  </si>
  <si>
    <t>過不足精算上限名</t>
  </si>
  <si>
    <t>SettlementUpperLimitName</t>
  </si>
  <si>
    <t>varchar</t>
  </si>
  <si>
    <t>過不足精算上限</t>
  </si>
  <si>
    <t>SettlementUpperLimit</t>
  </si>
  <si>
    <t>過不足精算下限名</t>
  </si>
  <si>
    <t>SettlementLowerLimitName</t>
  </si>
  <si>
    <t>過不足精算下限</t>
  </si>
  <si>
    <t>SettlementLowerLimit</t>
  </si>
  <si>
    <t>基本月給（円）</t>
  </si>
  <si>
    <t>BasicAmount</t>
  </si>
  <si>
    <t>請求先マスタ</t>
  </si>
  <si>
    <t>M_Customer</t>
  </si>
  <si>
    <t>請求先名</t>
  </si>
  <si>
    <t>CustomerName</t>
  </si>
  <si>
    <t>請求先略称</t>
  </si>
  <si>
    <t>CustomerShortName</t>
  </si>
  <si>
    <t>支払区分マスタ</t>
  </si>
  <si>
    <t>部署マスタ</t>
  </si>
  <si>
    <t>M_Department</t>
  </si>
  <si>
    <t>請求先ID</t>
  </si>
  <si>
    <t>CustomeID</t>
  </si>
  <si>
    <t>部署名</t>
  </si>
  <si>
    <t>DepartmentName</t>
  </si>
  <si>
    <t>部署略称</t>
  </si>
  <si>
    <t>DepartmentShortName</t>
  </si>
  <si>
    <t>プロジェクトマスタ</t>
  </si>
  <si>
    <t>M_Project</t>
  </si>
  <si>
    <t>発注書番号</t>
  </si>
  <si>
    <t>OrderNo</t>
  </si>
  <si>
    <t>請求No</t>
  </si>
  <si>
    <t>BillingNo</t>
  </si>
  <si>
    <t>作業名</t>
  </si>
  <si>
    <t>ProjectName</t>
  </si>
  <si>
    <t>作業内容</t>
  </si>
  <si>
    <t>ProjectContent</t>
  </si>
  <si>
    <t>作業場所</t>
  </si>
  <si>
    <t>ProjectAdd</t>
  </si>
  <si>
    <t>納品成果物</t>
  </si>
  <si>
    <t>Deliverables</t>
  </si>
  <si>
    <t>支払区分</t>
  </si>
  <si>
    <t>PaymentType</t>
  </si>
  <si>
    <t>M_PaymentType</t>
  </si>
  <si>
    <t>Type</t>
  </si>
  <si>
    <t>支払区分名</t>
  </si>
  <si>
    <t>PaymentTypeName</t>
  </si>
  <si>
    <t>加算日</t>
  </si>
  <si>
    <t>AddDays</t>
  </si>
  <si>
    <t>請求書</t>
  </si>
  <si>
    <t>T_Billing</t>
  </si>
  <si>
    <t>請求日（発行日）</t>
  </si>
  <si>
    <t>BillingDate</t>
  </si>
  <si>
    <t>請求開始日</t>
  </si>
  <si>
    <t>BillingFromDate</t>
  </si>
  <si>
    <t>請求終了日</t>
  </si>
  <si>
    <t>BillingToDate</t>
  </si>
  <si>
    <t>支払日</t>
  </si>
  <si>
    <t>PaymentDate</t>
  </si>
  <si>
    <t>請求金額(税抜)</t>
  </si>
  <si>
    <t>BillingAmount</t>
  </si>
  <si>
    <t>消費税</t>
  </si>
  <si>
    <t>BillingTax</t>
  </si>
  <si>
    <t>交通費</t>
  </si>
  <si>
    <t>TransportationAmount</t>
  </si>
  <si>
    <t>請求金額</t>
  </si>
  <si>
    <t>BillingTotal</t>
  </si>
  <si>
    <t>口座ID</t>
  </si>
  <si>
    <t>BankAccountID</t>
  </si>
  <si>
    <t>担当者ID</t>
  </si>
  <si>
    <t>請求書ファイルID</t>
  </si>
  <si>
    <t>PDFFileID</t>
  </si>
  <si>
    <t>0：作成中　1：承認待ち　2:承認済　3:完了　9:送付済</t>
  </si>
  <si>
    <t>ステータス</t>
  </si>
  <si>
    <t>Status</t>
  </si>
  <si>
    <t>承認者ID</t>
  </si>
  <si>
    <t>ApproverID</t>
  </si>
  <si>
    <t>承認日時</t>
  </si>
  <si>
    <t>ApprovalDateTime</t>
  </si>
  <si>
    <t>datetime</t>
  </si>
  <si>
    <t>完了者ID</t>
  </si>
  <si>
    <t>CompleterID</t>
  </si>
  <si>
    <t>完了日時</t>
  </si>
  <si>
    <t>CompletionDateTime</t>
  </si>
  <si>
    <t>送付者ID</t>
  </si>
  <si>
    <t>SenderID</t>
  </si>
  <si>
    <t>送付日時</t>
  </si>
  <si>
    <t>DeliveryDateTime</t>
  </si>
  <si>
    <t>請求書明細</t>
  </si>
  <si>
    <t>T_BillingDetail</t>
  </si>
  <si>
    <t>請求書ID</t>
  </si>
  <si>
    <t>BillingID</t>
  </si>
  <si>
    <t>社員氏名</t>
  </si>
  <si>
    <t>EmployeeName</t>
  </si>
  <si>
    <t>勤務時間</t>
  </si>
  <si>
    <t>WorkingHours</t>
  </si>
  <si>
    <t>LowerLimitName</t>
  </si>
  <si>
    <t>過不足精算下限単価</t>
  </si>
  <si>
    <t>LowerLimitUnit</t>
  </si>
  <si>
    <t>過不足精算下限金額</t>
  </si>
  <si>
    <t>LowerLimitAmount</t>
  </si>
  <si>
    <t>UpperLimitName</t>
  </si>
  <si>
    <t>過不足精算上限単価</t>
  </si>
  <si>
    <t>UpperLimitUnit</t>
  </si>
  <si>
    <t>過不足精算上限金額</t>
  </si>
  <si>
    <t>UpperLimitAmount</t>
  </si>
  <si>
    <t>ファイルデータ</t>
  </si>
  <si>
    <t>T_File</t>
  </si>
  <si>
    <t>File</t>
  </si>
  <si>
    <t>varbinary</t>
  </si>
  <si>
    <t>Max</t>
  </si>
  <si>
    <t>テーブルレイアウトシート</t>
  </si>
  <si>
    <t>型</t>
  </si>
  <si>
    <t>説明</t>
  </si>
  <si>
    <t>ストレージ上のサイズ</t>
  </si>
  <si>
    <t>整数型</t>
  </si>
  <si>
    <t>-2^63 (-9,223,372,036,854,775,808) ～ 2^63-1 (9,223,372,036,854,775,807)の範囲の整数型</t>
  </si>
  <si>
    <t>-2^31 (-2,147,483,648) ～ 2^31-1 (2,147,483,647)の範囲の整数型</t>
  </si>
  <si>
    <t>smallint</t>
  </si>
  <si>
    <t>-2^15 (-32,768) ～ 2^15-1 (32,767)の範囲の整数型</t>
  </si>
  <si>
    <t>tinyint</t>
  </si>
  <si>
    <t>0 ～ 255の範囲の整数型</t>
  </si>
  <si>
    <t>bit</t>
  </si>
  <si>
    <t>1、または0の範囲の整数型</t>
  </si>
  <si>
    <t>decimal　[(p[ ,s])]　固定長の有効桁数と小数点以下桁数を持つ数値</t>
  </si>
  <si>
    <t>有効桁数により変動</t>
  </si>
  <si>
    <t>numeric</t>
  </si>
  <si>
    <t>numeric　[(p[ ,s])]</t>
  </si>
  <si>
    <t>浮動小数点型</t>
  </si>
  <si>
    <t>float</t>
  </si>
  <si>
    <t>– 1.79E+308 ～ -2.23E-308、0、および 2.23E-308 ～ 1.79E+308の範囲の浮動小数点型n：有効桁数。1～53 (規定値53)</t>
  </si>
  <si>
    <t>real</t>
  </si>
  <si>
    <t>– 3.40E+38 ～ -1.18E-38、0、および 1.18E-38 ～ 3.40E+38の範囲の浮動小数点型</t>
  </si>
  <si>
    <t>通貨型</t>
  </si>
  <si>
    <t>money</t>
  </si>
  <si>
    <t>-922,337,203,685,477.5808 ～ 922,337,203,685,477.5807の範囲の通貨型表している通貨単位の 10,000 分の 1 までの精度を持ちます。</t>
  </si>
  <si>
    <t>smallmoney</t>
  </si>
  <si>
    <t>– 214,748.3648 ～ 214,748.3647の範囲の通貨型表している通貨単位の 10,000 分の 1 までの精度を持ちます。</t>
  </si>
  <si>
    <t>日付型</t>
  </si>
  <si>
    <t>0001-01-01～9999-12-31の範囲の日付型</t>
  </si>
  <si>
    <t>time</t>
  </si>
  <si>
    <t>00:00:00.0000000 ～ 23:59:59.9999999の範囲の時間型p：秒の小数点以下の有効桁数。0～7 (規定値7)</t>
  </si>
  <si>
    <t>有効桁数が規定値のとき5</t>
  </si>
  <si>
    <t>日付が 1753年1月1日～9999年12月31日、時刻が00:00:00～23:59:59.997の範囲の日付型</t>
  </si>
  <si>
    <t>日付が 0001-01-01 ～ 9999-12-31、時刻が00:00:00 ～ 23:59:59.9999999の範囲の日付型p：秒の小数点以下の有効桁数。0～7 (規定値7)</t>
  </si>
  <si>
    <t>smalldatetime</t>
  </si>
  <si>
    <t>日付が 1900-01-01 ～ 2079-06-06、時刻が00:00:00 ～ 23:59:59の範囲の日付型秒数は常にゼロ (:00) で、1 秒未満の秒を持ちません。</t>
  </si>
  <si>
    <t>datetimeoffset</t>
  </si>
  <si>
    <t>日付が 0001-01-01 ～ 9999-12-31、時刻が00:00:00 ～ 23:59:59.9999999の範囲のタイム ゾーンを認識する日付型タイムゾーンの範囲は-14:00 ～ +14:00。</t>
  </si>
  <si>
    <t>有効桁数が規定値のとき10</t>
  </si>
  <si>
    <t>文字列型</t>
  </si>
  <si>
    <t>char</t>
  </si>
  <si>
    <t>Unicode ではない固定長の文字列型n：桁数。1 ～ 8,000</t>
  </si>
  <si>
    <t>nバイト</t>
  </si>
  <si>
    <t>Unicode ではない可変長の文字列型n：桁数。1 ～ 8,000</t>
  </si>
  <si>
    <t>入力したデータサイズ+2バイト</t>
  </si>
  <si>
    <t>text</t>
  </si>
  <si>
    <t>Unicode ではない可変長の文字列型</t>
  </si>
  <si>
    <t>サーバー コード ページが 2 バイト文字を使用する場合、格納サイズは、そのまま 2,147,483,647 バイト</t>
  </si>
  <si>
    <t>Unicode 文字型</t>
  </si>
  <si>
    <t>nchar</t>
  </si>
  <si>
    <t>Unicode の固定長の文字列型n：桁数。1 ～ 4,000</t>
  </si>
  <si>
    <t>n×2バイト</t>
  </si>
  <si>
    <t>Unicode の可変長の文字列型n：桁数。1 ～ 4,000</t>
  </si>
  <si>
    <t>入力したデータサイズ×2+2バイト</t>
  </si>
  <si>
    <t>ntext</t>
  </si>
  <si>
    <t>2^30 – 1 (1,073,741,823) 文字以内の可変長の Unicode データを格納するデータ型</t>
  </si>
  <si>
    <t>入力したデータサイズ×2バイト</t>
  </si>
  <si>
    <t>バイナリ型</t>
  </si>
  <si>
    <t>binary</t>
  </si>
  <si>
    <t>固定長のバイナリ データn：桁数。1 ～ 8,000</t>
  </si>
  <si>
    <t>可変長のバイナリ データn：桁数。1 ～ 8,000</t>
  </si>
  <si>
    <t>image</t>
  </si>
  <si>
    <t>0 ～ 2^31-1 (2,147,483,647) バイトの可変長のバイナリ型</t>
  </si>
  <si>
    <t>BillingNo</t>
    <phoneticPr fontId="8"/>
  </si>
  <si>
    <t>BranchNo</t>
    <phoneticPr fontId="8"/>
  </si>
  <si>
    <t>CustomerName</t>
    <phoneticPr fontId="8"/>
  </si>
  <si>
    <t>ProjectName</t>
    <phoneticPr fontId="8"/>
  </si>
  <si>
    <t>OrderNo</t>
    <phoneticPr fontId="8"/>
  </si>
  <si>
    <t>ProjectContent</t>
    <phoneticPr fontId="8"/>
  </si>
  <si>
    <t>請求No枝番</t>
    <phoneticPr fontId="8"/>
  </si>
  <si>
    <t>ManagerID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</si>
</sst>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0.0_ "/>
    <numFmt numFmtId="178" formatCode="#,###_ "/>
  </numFmts>
  <fonts count="10">
    <font>
      <sz val="11"/>
      <color theme="1"/>
      <name val="Yu Gothic"/>
      <charset val="134"/>
      <scheme val="minor"/>
    </font>
    <font>
      <sz val="10"/>
      <color theme="1"/>
      <name val="ＭＳ ゴシック"/>
      <charset val="128"/>
    </font>
    <font>
      <sz val="9"/>
      <color theme="1"/>
      <name val="ＭＳ ゴシック"/>
      <charset val="128"/>
    </font>
    <font>
      <b/>
      <sz val="11"/>
      <name val="ＭＳ ゴシック"/>
      <charset val="128"/>
    </font>
    <font>
      <sz val="10"/>
      <name val="ＭＳ ゴシック"/>
      <charset val="128"/>
    </font>
    <font>
      <sz val="8"/>
      <name val="ＭＳ ゴシック"/>
      <charset val="128"/>
    </font>
    <font>
      <sz val="8"/>
      <color theme="1"/>
      <name val="ＭＳ ゴシック"/>
      <charset val="128"/>
    </font>
    <font>
      <b/>
      <sz val="14"/>
      <name val="ＭＳ ゴシック"/>
      <charset val="128"/>
    </font>
    <font>
      <sz val="6"/>
      <name val="Yu Gothic"/>
      <family val="3"/>
      <charset val="128"/>
      <scheme val="minor"/>
    </font>
    <font>
      <sz val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78" fontId="5" fillId="0" borderId="1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  <xf numFmtId="176" fontId="4" fillId="0" borderId="0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shrinkToFit="1"/>
    </xf>
    <xf numFmtId="0" fontId="6" fillId="0" borderId="1" xfId="0" applyFont="1" applyBorder="1" applyAlignment="1">
      <alignment vertical="center"/>
    </xf>
    <xf numFmtId="178" fontId="5" fillId="0" borderId="1" xfId="0" applyNumberFormat="1" applyFont="1" applyFill="1" applyBorder="1" applyAlignment="1">
      <alignment horizontal="right" vertical="center" shrinkToFit="1"/>
    </xf>
    <xf numFmtId="0" fontId="9" fillId="0" borderId="1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left" vertical="center"/>
    </xf>
    <xf numFmtId="176" fontId="5" fillId="0" borderId="8" xfId="0" applyNumberFormat="1" applyFont="1" applyBorder="1" applyAlignment="1">
      <alignment horizontal="left" vertical="center"/>
    </xf>
    <xf numFmtId="176" fontId="5" fillId="0" borderId="12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177" fontId="5" fillId="0" borderId="7" xfId="0" applyNumberFormat="1" applyFont="1" applyBorder="1" applyAlignment="1">
      <alignment horizontal="left" vertical="center"/>
    </xf>
    <xf numFmtId="177" fontId="5" fillId="0" borderId="8" xfId="0" applyNumberFormat="1" applyFont="1" applyBorder="1" applyAlignment="1">
      <alignment horizontal="left" vertical="center"/>
    </xf>
    <xf numFmtId="177" fontId="5" fillId="0" borderId="12" xfId="0" applyNumberFormat="1" applyFont="1" applyBorder="1" applyAlignment="1">
      <alignment horizontal="left" vertical="center"/>
    </xf>
    <xf numFmtId="177" fontId="5" fillId="0" borderId="5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49" fontId="5" fillId="0" borderId="7" xfId="0" applyNumberFormat="1" applyFont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77" fontId="5" fillId="0" borderId="7" xfId="0" applyNumberFormat="1" applyFont="1" applyBorder="1" applyAlignment="1" applyProtection="1">
      <alignment horizontal="left" vertical="top"/>
      <protection locked="0"/>
    </xf>
    <xf numFmtId="177" fontId="5" fillId="0" borderId="8" xfId="0" applyNumberFormat="1" applyFont="1" applyBorder="1" applyAlignment="1" applyProtection="1">
      <alignment horizontal="left" vertical="top"/>
      <protection locked="0"/>
    </xf>
    <xf numFmtId="177" fontId="5" fillId="0" borderId="12" xfId="0" applyNumberFormat="1" applyFont="1" applyBorder="1" applyAlignment="1" applyProtection="1">
      <alignment horizontal="left" vertical="top"/>
      <protection locked="0"/>
    </xf>
    <xf numFmtId="176" fontId="5" fillId="0" borderId="7" xfId="0" applyNumberFormat="1" applyFont="1" applyBorder="1" applyAlignment="1" applyProtection="1">
      <alignment horizontal="left" vertical="top"/>
      <protection locked="0"/>
    </xf>
    <xf numFmtId="176" fontId="5" fillId="0" borderId="8" xfId="0" applyNumberFormat="1" applyFont="1" applyBorder="1" applyAlignment="1" applyProtection="1">
      <alignment horizontal="left" vertical="top"/>
      <protection locked="0"/>
    </xf>
    <xf numFmtId="176" fontId="5" fillId="0" borderId="12" xfId="0" applyNumberFormat="1" applyFont="1" applyBorder="1" applyAlignment="1" applyProtection="1">
      <alignment horizontal="left" vertical="top"/>
      <protection locked="0"/>
    </xf>
    <xf numFmtId="49" fontId="5" fillId="0" borderId="7" xfId="0" applyNumberFormat="1" applyFont="1" applyBorder="1" applyAlignment="1" applyProtection="1">
      <alignment horizontal="left" vertical="top" wrapText="1"/>
      <protection locked="0"/>
    </xf>
    <xf numFmtId="49" fontId="5" fillId="0" borderId="8" xfId="0" applyNumberFormat="1" applyFont="1" applyBorder="1" applyAlignment="1" applyProtection="1">
      <alignment horizontal="left" vertical="top" wrapText="1"/>
      <protection locked="0"/>
    </xf>
    <xf numFmtId="49" fontId="5" fillId="0" borderId="12" xfId="0" applyNumberFormat="1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33258;&#31038;&#20316;&#26989;/&#21220;&#24608;&#31649;&#29702;&#12471;&#12473;&#12486;&#12512;/&#31038;&#21729;&#12471;&#12473;&#12486;&#12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ロー図"/>
      <sheetName val="Top画面"/>
      <sheetName val="スケジュール画面"/>
      <sheetName val="TODDリスト"/>
      <sheetName val="Sheet2"/>
      <sheetName val="Sheet1"/>
      <sheetName val="Sheet3"/>
      <sheetName val="Sheet4"/>
      <sheetName val="設定"/>
      <sheetName val="社員一覧"/>
      <sheetName val="社員編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showGridLines="0" view="pageBreakPreview" zoomScale="112" zoomScaleNormal="100" zoomScaleSheetLayoutView="112" workbookViewId="0">
      <selection activeCell="Q12" sqref="Q12:BA12"/>
    </sheetView>
  </sheetViews>
  <sheetFormatPr defaultColWidth="2.5" defaultRowHeight="18"/>
  <sheetData>
    <row r="1" spans="1:53" ht="13.5" customHeight="1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38" t="s">
        <v>1</v>
      </c>
      <c r="O1" s="39"/>
      <c r="P1" s="39"/>
      <c r="Q1" s="39"/>
      <c r="R1" s="39"/>
      <c r="S1" s="39"/>
      <c r="T1" s="39"/>
      <c r="U1" s="39"/>
      <c r="V1" s="40"/>
      <c r="W1" s="38"/>
      <c r="X1" s="39"/>
      <c r="Y1" s="39"/>
      <c r="Z1" s="39"/>
      <c r="AA1" s="39"/>
      <c r="AB1" s="39"/>
      <c r="AC1" s="39"/>
      <c r="AD1" s="39"/>
      <c r="AE1" s="40"/>
      <c r="AF1" s="41"/>
      <c r="AG1" s="42"/>
      <c r="AH1" s="43"/>
      <c r="AI1" s="44" t="s">
        <v>2</v>
      </c>
      <c r="AJ1" s="42"/>
      <c r="AK1" s="43"/>
      <c r="AL1" s="45"/>
      <c r="AM1" s="46"/>
      <c r="AN1" s="46"/>
      <c r="AO1" s="46"/>
      <c r="AP1" s="46"/>
      <c r="AQ1" s="46"/>
      <c r="AR1" s="47"/>
    </row>
    <row r="2" spans="1:53" ht="13.5" customHeight="1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51" t="s">
        <v>3</v>
      </c>
      <c r="O2" s="52"/>
      <c r="P2" s="52"/>
      <c r="Q2" s="52"/>
      <c r="R2" s="52"/>
      <c r="S2" s="52"/>
      <c r="T2" s="52"/>
      <c r="U2" s="52"/>
      <c r="V2" s="53"/>
      <c r="W2" s="57"/>
      <c r="X2" s="58"/>
      <c r="Y2" s="58"/>
      <c r="Z2" s="58"/>
      <c r="AA2" s="58"/>
      <c r="AB2" s="58"/>
      <c r="AC2" s="58"/>
      <c r="AD2" s="58"/>
      <c r="AE2" s="59"/>
      <c r="AF2" s="71"/>
      <c r="AG2" s="72"/>
      <c r="AH2" s="73"/>
      <c r="AI2" s="44" t="s">
        <v>4</v>
      </c>
      <c r="AJ2" s="42"/>
      <c r="AK2" s="43"/>
      <c r="AL2" s="38"/>
      <c r="AM2" s="39"/>
      <c r="AN2" s="39"/>
      <c r="AO2" s="39"/>
      <c r="AP2" s="39"/>
      <c r="AQ2" s="39"/>
      <c r="AR2" s="40"/>
    </row>
    <row r="3" spans="1:53" ht="13.5" customHeight="1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4"/>
      <c r="O3" s="55"/>
      <c r="P3" s="55"/>
      <c r="Q3" s="55"/>
      <c r="R3" s="55"/>
      <c r="S3" s="55"/>
      <c r="T3" s="55"/>
      <c r="U3" s="55"/>
      <c r="V3" s="56"/>
      <c r="W3" s="60"/>
      <c r="X3" s="61"/>
      <c r="Y3" s="61"/>
      <c r="Z3" s="61"/>
      <c r="AA3" s="61"/>
      <c r="AB3" s="61"/>
      <c r="AC3" s="61"/>
      <c r="AD3" s="61"/>
      <c r="AE3" s="62"/>
      <c r="AF3" s="74"/>
      <c r="AG3" s="75"/>
      <c r="AH3" s="76"/>
      <c r="AI3" s="50" t="s">
        <v>5</v>
      </c>
      <c r="AJ3" s="42"/>
      <c r="AK3" s="43"/>
      <c r="AL3" s="45"/>
      <c r="AM3" s="46"/>
      <c r="AN3" s="46"/>
      <c r="AO3" s="46"/>
      <c r="AP3" s="46"/>
      <c r="AQ3" s="46"/>
      <c r="AR3" s="47"/>
    </row>
    <row r="4" spans="1:53" ht="13.5" customHeight="1">
      <c r="A4" s="84" t="s">
        <v>6</v>
      </c>
      <c r="B4" s="85"/>
      <c r="C4" s="85"/>
      <c r="D4" s="85"/>
      <c r="E4" s="61" t="s">
        <v>7</v>
      </c>
      <c r="F4" s="61"/>
      <c r="G4" s="61"/>
      <c r="H4" s="61"/>
      <c r="I4" s="61"/>
      <c r="J4" s="61"/>
      <c r="K4" s="61"/>
      <c r="L4" s="61"/>
      <c r="M4" s="61"/>
      <c r="N4" s="86" t="s">
        <v>8</v>
      </c>
      <c r="O4" s="39"/>
      <c r="P4" s="40"/>
      <c r="Q4" s="38" t="s">
        <v>9</v>
      </c>
      <c r="R4" s="39"/>
      <c r="S4" s="39"/>
      <c r="T4" s="39"/>
      <c r="U4" s="39"/>
      <c r="V4" s="40"/>
      <c r="W4" s="86"/>
      <c r="X4" s="39"/>
      <c r="Y4" s="40"/>
      <c r="Z4" s="38"/>
      <c r="AA4" s="39"/>
      <c r="AB4" s="39"/>
      <c r="AC4" s="39"/>
      <c r="AD4" s="39"/>
      <c r="AE4" s="40"/>
      <c r="AF4" s="77"/>
      <c r="AG4" s="78"/>
      <c r="AH4" s="79"/>
      <c r="AI4" s="50" t="s">
        <v>10</v>
      </c>
      <c r="AJ4" s="42"/>
      <c r="AK4" s="43"/>
      <c r="AL4" s="38"/>
      <c r="AM4" s="39"/>
      <c r="AN4" s="39"/>
      <c r="AO4" s="39"/>
      <c r="AP4" s="39"/>
      <c r="AQ4" s="39"/>
      <c r="AR4" s="40"/>
    </row>
    <row r="5" spans="1:53" ht="4.5" customHeight="1"/>
    <row r="6" spans="1:53">
      <c r="A6" s="63" t="s">
        <v>11</v>
      </c>
      <c r="B6" s="63"/>
      <c r="C6" s="63"/>
      <c r="D6" s="63"/>
      <c r="E6" s="63"/>
      <c r="F6" s="64">
        <v>1</v>
      </c>
      <c r="G6" s="64"/>
      <c r="H6" s="64"/>
      <c r="I6" s="64"/>
      <c r="J6" s="64"/>
      <c r="N6" s="65" t="s">
        <v>12</v>
      </c>
      <c r="O6" s="66"/>
      <c r="P6" s="67"/>
      <c r="Q6" s="68" t="s">
        <v>13</v>
      </c>
      <c r="R6" s="69"/>
      <c r="S6" s="69"/>
      <c r="T6" s="69"/>
      <c r="U6" s="69"/>
      <c r="V6" s="70"/>
    </row>
    <row r="7" spans="1:53" ht="12" customHeight="1"/>
    <row r="8" spans="1:53">
      <c r="A8" s="87" t="s">
        <v>14</v>
      </c>
      <c r="B8" s="88"/>
      <c r="C8" s="88"/>
      <c r="D8" s="89"/>
      <c r="E8" s="87" t="s">
        <v>15</v>
      </c>
      <c r="F8" s="88"/>
      <c r="G8" s="88"/>
      <c r="H8" s="88"/>
      <c r="I8" s="88"/>
      <c r="J8" s="89"/>
      <c r="K8" s="87" t="s">
        <v>16</v>
      </c>
      <c r="L8" s="88"/>
      <c r="M8" s="88"/>
      <c r="N8" s="88"/>
      <c r="O8" s="88"/>
      <c r="P8" s="88"/>
      <c r="Q8" s="87" t="s">
        <v>17</v>
      </c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9"/>
    </row>
    <row r="9" spans="1:53">
      <c r="A9" s="90"/>
      <c r="B9" s="91"/>
      <c r="C9" s="91"/>
      <c r="D9" s="92"/>
      <c r="E9" s="93"/>
      <c r="F9" s="94"/>
      <c r="G9" s="94"/>
      <c r="H9" s="94"/>
      <c r="I9" s="94"/>
      <c r="J9" s="95"/>
      <c r="K9" s="96"/>
      <c r="L9" s="97"/>
      <c r="M9" s="97"/>
      <c r="N9" s="97"/>
      <c r="O9" s="97"/>
      <c r="P9" s="97"/>
      <c r="Q9" s="96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8"/>
    </row>
    <row r="10" spans="1:53">
      <c r="A10" s="90"/>
      <c r="B10" s="91"/>
      <c r="C10" s="91"/>
      <c r="D10" s="92"/>
      <c r="E10" s="93"/>
      <c r="F10" s="94"/>
      <c r="G10" s="94"/>
      <c r="H10" s="94"/>
      <c r="I10" s="94"/>
      <c r="J10" s="95"/>
      <c r="K10" s="96"/>
      <c r="L10" s="97"/>
      <c r="M10" s="97"/>
      <c r="N10" s="97"/>
      <c r="O10" s="97"/>
      <c r="P10" s="97"/>
      <c r="Q10" s="96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8"/>
    </row>
    <row r="11" spans="1:53">
      <c r="A11" s="90"/>
      <c r="B11" s="91"/>
      <c r="C11" s="91"/>
      <c r="D11" s="92"/>
      <c r="E11" s="93"/>
      <c r="F11" s="94"/>
      <c r="G11" s="94"/>
      <c r="H11" s="94"/>
      <c r="I11" s="94"/>
      <c r="J11" s="95"/>
      <c r="K11" s="96"/>
      <c r="L11" s="97"/>
      <c r="M11" s="97"/>
      <c r="N11" s="97"/>
      <c r="O11" s="97"/>
      <c r="P11" s="97"/>
      <c r="Q11" s="96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8"/>
    </row>
    <row r="12" spans="1:53">
      <c r="A12" s="90"/>
      <c r="B12" s="91"/>
      <c r="C12" s="91"/>
      <c r="D12" s="92"/>
      <c r="E12" s="93"/>
      <c r="F12" s="94"/>
      <c r="G12" s="94"/>
      <c r="H12" s="94"/>
      <c r="I12" s="94"/>
      <c r="J12" s="95"/>
      <c r="K12" s="96"/>
      <c r="L12" s="97"/>
      <c r="M12" s="97"/>
      <c r="N12" s="97"/>
      <c r="O12" s="97"/>
      <c r="P12" s="97"/>
      <c r="Q12" s="96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8"/>
    </row>
    <row r="13" spans="1:53">
      <c r="A13" s="90"/>
      <c r="B13" s="91"/>
      <c r="C13" s="91"/>
      <c r="D13" s="92"/>
      <c r="E13" s="93"/>
      <c r="F13" s="94"/>
      <c r="G13" s="94"/>
      <c r="H13" s="94"/>
      <c r="I13" s="94"/>
      <c r="J13" s="95"/>
      <c r="K13" s="96"/>
      <c r="L13" s="97"/>
      <c r="M13" s="97"/>
      <c r="N13" s="97"/>
      <c r="O13" s="97"/>
      <c r="P13" s="97"/>
      <c r="Q13" s="96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8"/>
    </row>
    <row r="14" spans="1:53">
      <c r="A14" s="90"/>
      <c r="B14" s="91"/>
      <c r="C14" s="91"/>
      <c r="D14" s="92"/>
      <c r="E14" s="93"/>
      <c r="F14" s="94"/>
      <c r="G14" s="94"/>
      <c r="H14" s="94"/>
      <c r="I14" s="94"/>
      <c r="J14" s="95"/>
      <c r="K14" s="96"/>
      <c r="L14" s="97"/>
      <c r="M14" s="97"/>
      <c r="N14" s="97"/>
      <c r="O14" s="97"/>
      <c r="P14" s="97"/>
      <c r="Q14" s="96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8"/>
    </row>
    <row r="15" spans="1:53">
      <c r="A15" s="90"/>
      <c r="B15" s="91"/>
      <c r="C15" s="91"/>
      <c r="D15" s="92"/>
      <c r="E15" s="93"/>
      <c r="F15" s="94"/>
      <c r="G15" s="94"/>
      <c r="H15" s="94"/>
      <c r="I15" s="94"/>
      <c r="J15" s="95"/>
      <c r="K15" s="96"/>
      <c r="L15" s="97"/>
      <c r="M15" s="97"/>
      <c r="N15" s="97"/>
      <c r="O15" s="97"/>
      <c r="P15" s="97"/>
      <c r="Q15" s="96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8"/>
    </row>
    <row r="16" spans="1:53">
      <c r="A16" s="90"/>
      <c r="B16" s="91"/>
      <c r="C16" s="91"/>
      <c r="D16" s="92"/>
      <c r="E16" s="93"/>
      <c r="F16" s="94"/>
      <c r="G16" s="94"/>
      <c r="H16" s="94"/>
      <c r="I16" s="94"/>
      <c r="J16" s="95"/>
      <c r="K16" s="96"/>
      <c r="L16" s="97"/>
      <c r="M16" s="97"/>
      <c r="N16" s="97"/>
      <c r="O16" s="97"/>
      <c r="P16" s="97"/>
      <c r="Q16" s="96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8"/>
    </row>
    <row r="17" spans="1:53">
      <c r="A17" s="90"/>
      <c r="B17" s="91"/>
      <c r="C17" s="91"/>
      <c r="D17" s="92"/>
      <c r="E17" s="93"/>
      <c r="F17" s="94"/>
      <c r="G17" s="94"/>
      <c r="H17" s="94"/>
      <c r="I17" s="94"/>
      <c r="J17" s="95"/>
      <c r="K17" s="96"/>
      <c r="L17" s="97"/>
      <c r="M17" s="97"/>
      <c r="N17" s="97"/>
      <c r="O17" s="97"/>
      <c r="P17" s="97"/>
      <c r="Q17" s="96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8"/>
    </row>
    <row r="18" spans="1:53">
      <c r="A18" s="90"/>
      <c r="B18" s="91"/>
      <c r="C18" s="91"/>
      <c r="D18" s="92"/>
      <c r="E18" s="93"/>
      <c r="F18" s="94"/>
      <c r="G18" s="94"/>
      <c r="H18" s="94"/>
      <c r="I18" s="94"/>
      <c r="J18" s="95"/>
      <c r="K18" s="96"/>
      <c r="L18" s="97"/>
      <c r="M18" s="97"/>
      <c r="N18" s="97"/>
      <c r="O18" s="97"/>
      <c r="P18" s="97"/>
      <c r="Q18" s="96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8"/>
    </row>
    <row r="19" spans="1:53">
      <c r="A19" s="90"/>
      <c r="B19" s="91"/>
      <c r="C19" s="91"/>
      <c r="D19" s="92"/>
      <c r="E19" s="93"/>
      <c r="F19" s="94"/>
      <c r="G19" s="94"/>
      <c r="H19" s="94"/>
      <c r="I19" s="94"/>
      <c r="J19" s="95"/>
      <c r="K19" s="96"/>
      <c r="L19" s="97"/>
      <c r="M19" s="97"/>
      <c r="N19" s="97"/>
      <c r="O19" s="97"/>
      <c r="P19" s="97"/>
      <c r="Q19" s="96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8"/>
    </row>
    <row r="20" spans="1:53">
      <c r="A20" s="90"/>
      <c r="B20" s="91"/>
      <c r="C20" s="91"/>
      <c r="D20" s="92"/>
      <c r="E20" s="93"/>
      <c r="F20" s="94"/>
      <c r="G20" s="94"/>
      <c r="H20" s="94"/>
      <c r="I20" s="94"/>
      <c r="J20" s="95"/>
      <c r="K20" s="96"/>
      <c r="L20" s="97"/>
      <c r="M20" s="97"/>
      <c r="N20" s="97"/>
      <c r="O20" s="97"/>
      <c r="P20" s="97"/>
      <c r="Q20" s="96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8"/>
    </row>
    <row r="21" spans="1:53">
      <c r="A21" s="90"/>
      <c r="B21" s="91"/>
      <c r="C21" s="91"/>
      <c r="D21" s="92"/>
      <c r="E21" s="93"/>
      <c r="F21" s="94"/>
      <c r="G21" s="94"/>
      <c r="H21" s="94"/>
      <c r="I21" s="94"/>
      <c r="J21" s="95"/>
      <c r="K21" s="96"/>
      <c r="L21" s="97"/>
      <c r="M21" s="97"/>
      <c r="N21" s="97"/>
      <c r="O21" s="97"/>
      <c r="P21" s="97"/>
      <c r="Q21" s="96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8"/>
    </row>
  </sheetData>
  <mergeCells count="82">
    <mergeCell ref="A20:D20"/>
    <mergeCell ref="E20:J20"/>
    <mergeCell ref="K20:P20"/>
    <mergeCell ref="Q20:BA20"/>
    <mergeCell ref="A21:D21"/>
    <mergeCell ref="E21:J21"/>
    <mergeCell ref="K21:P21"/>
    <mergeCell ref="Q21:BA21"/>
    <mergeCell ref="A18:D18"/>
    <mergeCell ref="E18:J18"/>
    <mergeCell ref="K18:P18"/>
    <mergeCell ref="Q18:BA18"/>
    <mergeCell ref="A19:D19"/>
    <mergeCell ref="E19:J19"/>
    <mergeCell ref="K19:P19"/>
    <mergeCell ref="Q19:BA19"/>
    <mergeCell ref="A16:D16"/>
    <mergeCell ref="E16:J16"/>
    <mergeCell ref="K16:P16"/>
    <mergeCell ref="Q16:BA16"/>
    <mergeCell ref="A17:D17"/>
    <mergeCell ref="E17:J17"/>
    <mergeCell ref="K17:P17"/>
    <mergeCell ref="Q17:BA17"/>
    <mergeCell ref="A14:D14"/>
    <mergeCell ref="E14:J14"/>
    <mergeCell ref="K14:P14"/>
    <mergeCell ref="Q14:BA14"/>
    <mergeCell ref="A15:D15"/>
    <mergeCell ref="E15:J15"/>
    <mergeCell ref="K15:P15"/>
    <mergeCell ref="Q15:BA15"/>
    <mergeCell ref="A12:D12"/>
    <mergeCell ref="E12:J12"/>
    <mergeCell ref="K12:P12"/>
    <mergeCell ref="Q12:BA12"/>
    <mergeCell ref="A13:D13"/>
    <mergeCell ref="E13:J13"/>
    <mergeCell ref="K13:P13"/>
    <mergeCell ref="Q13:BA13"/>
    <mergeCell ref="A10:D10"/>
    <mergeCell ref="E10:J10"/>
    <mergeCell ref="K10:P10"/>
    <mergeCell ref="Q10:BA10"/>
    <mergeCell ref="A11:D11"/>
    <mergeCell ref="E11:J11"/>
    <mergeCell ref="K11:P11"/>
    <mergeCell ref="Q11:BA11"/>
    <mergeCell ref="A8:D8"/>
    <mergeCell ref="E8:J8"/>
    <mergeCell ref="K8:P8"/>
    <mergeCell ref="Q8:BA8"/>
    <mergeCell ref="A9:D9"/>
    <mergeCell ref="E9:J9"/>
    <mergeCell ref="K9:P9"/>
    <mergeCell ref="Q9:BA9"/>
    <mergeCell ref="Z4:AE4"/>
    <mergeCell ref="AI4:AK4"/>
    <mergeCell ref="AL4:AR4"/>
    <mergeCell ref="A6:E6"/>
    <mergeCell ref="F6:J6"/>
    <mergeCell ref="N6:P6"/>
    <mergeCell ref="Q6:V6"/>
    <mergeCell ref="AF2:AH4"/>
    <mergeCell ref="A1:M2"/>
    <mergeCell ref="A4:D4"/>
    <mergeCell ref="E4:M4"/>
    <mergeCell ref="N4:P4"/>
    <mergeCell ref="Q4:V4"/>
    <mergeCell ref="W4:Y4"/>
    <mergeCell ref="AI2:AK2"/>
    <mergeCell ref="AL2:AR2"/>
    <mergeCell ref="A3:M3"/>
    <mergeCell ref="AI3:AK3"/>
    <mergeCell ref="AL3:AR3"/>
    <mergeCell ref="N2:V3"/>
    <mergeCell ref="W2:AE3"/>
    <mergeCell ref="N1:V1"/>
    <mergeCell ref="W1:AE1"/>
    <mergeCell ref="AF1:AH1"/>
    <mergeCell ref="AI1:AK1"/>
    <mergeCell ref="AL1:AR1"/>
  </mergeCells>
  <phoneticPr fontId="8"/>
  <pageMargins left="0.69930555555555596" right="0.69930555555555596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showGridLines="0" view="pageBreakPreview" zoomScale="110" zoomScaleNormal="100" zoomScaleSheetLayoutView="110" workbookViewId="0">
      <selection activeCell="M10" sqref="M10:M13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20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22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 t="shared" ref="A10:A46" si="0">ROW()-10</f>
        <v>0</v>
      </c>
      <c r="B10" s="20" t="s">
        <v>35</v>
      </c>
      <c r="C10" s="20" t="s">
        <v>36</v>
      </c>
      <c r="D10" s="20" t="s">
        <v>37</v>
      </c>
      <c r="E10" s="20" t="s">
        <v>38</v>
      </c>
      <c r="F10" s="20">
        <v>4</v>
      </c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si="0"/>
        <v>1</v>
      </c>
      <c r="B11" s="20" t="s">
        <v>40</v>
      </c>
      <c r="C11" s="20" t="s">
        <v>41</v>
      </c>
      <c r="D11" s="20" t="s">
        <v>37</v>
      </c>
      <c r="E11" s="20" t="s">
        <v>38</v>
      </c>
      <c r="F11" s="20">
        <v>2</v>
      </c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43</v>
      </c>
      <c r="C12" s="20" t="s">
        <v>44</v>
      </c>
      <c r="D12" s="20"/>
      <c r="E12" s="20" t="s">
        <v>38</v>
      </c>
      <c r="F12" s="20">
        <v>10</v>
      </c>
      <c r="G12" s="20"/>
      <c r="H12" s="20"/>
      <c r="I12" s="20"/>
      <c r="J12" s="2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1" t="s">
        <v>46</v>
      </c>
      <c r="C13" s="21" t="s">
        <v>47</v>
      </c>
      <c r="D13" s="20"/>
      <c r="E13" s="20" t="s">
        <v>48</v>
      </c>
      <c r="F13" s="20"/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1" t="s">
        <v>50</v>
      </c>
      <c r="C14" s="21" t="s">
        <v>51</v>
      </c>
      <c r="D14" s="20"/>
      <c r="E14" s="20" t="s">
        <v>52</v>
      </c>
      <c r="F14" s="20"/>
      <c r="G14" s="20"/>
      <c r="H14" s="20" t="s">
        <v>37</v>
      </c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54</v>
      </c>
      <c r="C15" s="21" t="s">
        <v>55</v>
      </c>
      <c r="D15" s="20"/>
      <c r="E15" s="20" t="s">
        <v>56</v>
      </c>
      <c r="F15" s="20"/>
      <c r="G15" s="20"/>
      <c r="H15" s="20" t="s">
        <v>37</v>
      </c>
      <c r="I15" s="20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58</v>
      </c>
      <c r="C16" s="21" t="s">
        <v>59</v>
      </c>
      <c r="D16" s="20"/>
      <c r="E16" s="20" t="s">
        <v>52</v>
      </c>
      <c r="F16" s="20"/>
      <c r="G16" s="20"/>
      <c r="H16" s="20" t="s">
        <v>37</v>
      </c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61</v>
      </c>
      <c r="C17" s="21" t="s">
        <v>62</v>
      </c>
      <c r="D17" s="20"/>
      <c r="E17" s="20" t="s">
        <v>56</v>
      </c>
      <c r="F17" s="20"/>
      <c r="G17" s="20"/>
      <c r="H17" s="20" t="s">
        <v>37</v>
      </c>
      <c r="I17" s="20"/>
      <c r="J17" s="33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/>
      <c r="C18" s="21"/>
      <c r="D18" s="20"/>
      <c r="E18" s="20"/>
      <c r="F18" s="20"/>
      <c r="G18" s="20"/>
      <c r="H18" s="20"/>
      <c r="I18" s="20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0"/>
      <c r="C19" s="21"/>
      <c r="D19" s="20"/>
      <c r="E19" s="20"/>
      <c r="F19" s="20"/>
      <c r="G19" s="20"/>
      <c r="H19" s="20"/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0"/>
      <c r="C20" s="21"/>
      <c r="D20" s="20"/>
      <c r="E20" s="20"/>
      <c r="F20" s="20"/>
      <c r="G20" s="20"/>
      <c r="H20" s="20"/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0"/>
      <c r="C21" s="21"/>
      <c r="D21" s="20"/>
      <c r="E21" s="20"/>
      <c r="F21" s="20"/>
      <c r="G21" s="20"/>
      <c r="H21" s="20"/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0"/>
      <c r="C22" s="21"/>
      <c r="D22" s="20"/>
      <c r="E22" s="20"/>
      <c r="F22" s="20"/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0"/>
      <c r="C23" s="21"/>
      <c r="D23" s="20"/>
      <c r="E23" s="20"/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/>
      <c r="C24" s="20"/>
      <c r="D24" s="20"/>
      <c r="E24" s="20"/>
      <c r="F24" s="20"/>
      <c r="G24" s="20"/>
      <c r="H24" s="20"/>
      <c r="I24" s="20"/>
      <c r="J24" s="3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/>
      <c r="C25" s="21"/>
      <c r="D25" s="20"/>
      <c r="E25" s="20"/>
      <c r="F25" s="20"/>
      <c r="G25" s="20"/>
      <c r="H25" s="20"/>
      <c r="I25" s="20"/>
      <c r="J25" s="3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/>
      <c r="C28" s="21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1"/>
      <c r="C29" s="21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/>
      <c r="C30" s="21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1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1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3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1"/>
      <c r="C38" s="21"/>
      <c r="D38" s="20"/>
      <c r="E38" s="20"/>
      <c r="F38" s="20"/>
      <c r="G38" s="20"/>
      <c r="H38" s="20"/>
      <c r="I38" s="20"/>
      <c r="J38" s="3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1"/>
      <c r="C39" s="21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1"/>
      <c r="C40" s="21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1"/>
      <c r="C41" s="21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  <row r="42" spans="1:28" s="7" customFormat="1" ht="15.75" customHeight="1">
      <c r="A42" s="19">
        <f t="shared" si="0"/>
        <v>32</v>
      </c>
      <c r="B42" s="21"/>
      <c r="C42" s="21"/>
      <c r="D42" s="20"/>
      <c r="E42" s="20"/>
      <c r="F42" s="20"/>
      <c r="G42" s="20"/>
      <c r="H42" s="20"/>
      <c r="I42" s="20"/>
      <c r="J42" s="20"/>
      <c r="K42" s="26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B42" s="31"/>
    </row>
    <row r="43" spans="1:28" s="7" customFormat="1" ht="15.75" customHeight="1">
      <c r="A43" s="19">
        <f t="shared" si="0"/>
        <v>33</v>
      </c>
      <c r="B43" s="21"/>
      <c r="C43" s="21"/>
      <c r="D43" s="20"/>
      <c r="E43" s="20"/>
      <c r="F43" s="20"/>
      <c r="G43" s="20"/>
      <c r="H43" s="20"/>
      <c r="I43" s="20"/>
      <c r="J43" s="20"/>
      <c r="K43" s="26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B43" s="31"/>
    </row>
    <row r="44" spans="1:28" s="7" customFormat="1" ht="15.75" customHeight="1">
      <c r="A44" s="19">
        <f t="shared" si="0"/>
        <v>34</v>
      </c>
      <c r="B44" s="20"/>
      <c r="C44" s="20"/>
      <c r="D44" s="20"/>
      <c r="E44" s="20"/>
      <c r="F44" s="20"/>
      <c r="G44" s="20"/>
      <c r="H44" s="20"/>
      <c r="I44" s="20"/>
      <c r="J44" s="20"/>
      <c r="K44" s="26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B44" s="31"/>
    </row>
    <row r="45" spans="1:28" s="7" customFormat="1" ht="15.75" customHeight="1">
      <c r="A45" s="19">
        <f t="shared" si="0"/>
        <v>35</v>
      </c>
      <c r="B45" s="20"/>
      <c r="C45" s="20"/>
      <c r="D45" s="20"/>
      <c r="E45" s="20"/>
      <c r="F45" s="20"/>
      <c r="G45" s="20"/>
      <c r="H45" s="20"/>
      <c r="I45" s="20"/>
      <c r="J45" s="20"/>
      <c r="K45" s="26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B45" s="31"/>
    </row>
    <row r="46" spans="1:28" s="7" customFormat="1" ht="15.75" customHeight="1">
      <c r="A46" s="19">
        <f t="shared" si="0"/>
        <v>36</v>
      </c>
      <c r="B46" s="20"/>
      <c r="C46" s="20"/>
      <c r="D46" s="20"/>
      <c r="E46" s="20"/>
      <c r="F46" s="20"/>
      <c r="G46" s="20"/>
      <c r="H46" s="20"/>
      <c r="I46" s="20"/>
      <c r="J46" s="20"/>
      <c r="K46" s="26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B46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13 H13 D23 D24 D37 D10:D12 D14:D18 D19:D20 D21:D22 D25:D30 D31:D32 D33:D36 D38:D43 D44:D46 H10:H12 H14:H18 H19:H22 H23:H24 H25:H30 H31:H32 H33:H37 H38:H43 H44:H46">
      <formula1>"○"</formula1>
    </dataValidation>
    <dataValidation allowBlank="1" showInputMessage="1" showErrorMessage="1" sqref="B13:C13 B18:C18 C19 C20 C23 J24 J25 B30:C30 J37 J38 B43:C43 C21:C22 C31:C32 C33:C36 M11:M12 B38:C42 B25:C29 B14:C17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E13 E19 E20 E23 E24 E37 E10:E12 E14:E18 E21:E22 E25:E30 E31:E32 E33:E36 E38:E43 E44:E46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C32" sqref="C32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67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68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 t="shared" ref="A10:A41" si="0"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si="0"/>
        <v>1</v>
      </c>
      <c r="B11" s="22" t="s">
        <v>70</v>
      </c>
      <c r="C11" s="34" t="s">
        <v>71</v>
      </c>
      <c r="D11" s="22"/>
      <c r="E11" s="22" t="s">
        <v>38</v>
      </c>
      <c r="F11" s="22">
        <v>5</v>
      </c>
      <c r="G11" s="22"/>
      <c r="H11" s="22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1" t="s">
        <v>72</v>
      </c>
      <c r="C12" s="21" t="s">
        <v>73</v>
      </c>
      <c r="D12" s="20"/>
      <c r="E12" s="22" t="s">
        <v>38</v>
      </c>
      <c r="F12" s="20">
        <v>50</v>
      </c>
      <c r="G12" s="22"/>
      <c r="H12" s="22"/>
      <c r="I12" s="29"/>
      <c r="J12" s="3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2" t="s">
        <v>74</v>
      </c>
      <c r="C13" s="22" t="s">
        <v>75</v>
      </c>
      <c r="D13" s="22"/>
      <c r="E13" s="22" t="s">
        <v>38</v>
      </c>
      <c r="F13" s="22">
        <v>5</v>
      </c>
      <c r="G13" s="22"/>
      <c r="H13" s="22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1" t="s">
        <v>76</v>
      </c>
      <c r="C14" s="21" t="s">
        <v>77</v>
      </c>
      <c r="D14" s="20"/>
      <c r="E14" s="22" t="s">
        <v>38</v>
      </c>
      <c r="F14" s="20">
        <v>50</v>
      </c>
      <c r="G14" s="22"/>
      <c r="H14" s="22"/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78</v>
      </c>
      <c r="C15" s="21" t="s">
        <v>79</v>
      </c>
      <c r="D15" s="20"/>
      <c r="E15" s="22" t="s">
        <v>38</v>
      </c>
      <c r="F15" s="20">
        <v>10</v>
      </c>
      <c r="G15" s="20"/>
      <c r="H15" s="20"/>
      <c r="I15" s="29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80</v>
      </c>
      <c r="C16" s="21" t="s">
        <v>81</v>
      </c>
      <c r="D16" s="20"/>
      <c r="E16" s="22" t="s">
        <v>38</v>
      </c>
      <c r="F16" s="20">
        <v>50</v>
      </c>
      <c r="G16" s="20"/>
      <c r="H16" s="20"/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82</v>
      </c>
      <c r="C17" s="21" t="s">
        <v>83</v>
      </c>
      <c r="D17" s="20"/>
      <c r="E17" s="20" t="s">
        <v>48</v>
      </c>
      <c r="F17" s="20">
        <v>1</v>
      </c>
      <c r="G17" s="20"/>
      <c r="H17" s="20"/>
      <c r="I17" s="20">
        <v>0</v>
      </c>
      <c r="J17" s="30" t="s">
        <v>84</v>
      </c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50</v>
      </c>
      <c r="C18" s="21" t="s">
        <v>51</v>
      </c>
      <c r="D18" s="20"/>
      <c r="E18" s="20" t="s">
        <v>52</v>
      </c>
      <c r="F18" s="20"/>
      <c r="G18" s="20"/>
      <c r="H18" s="20" t="s">
        <v>37</v>
      </c>
      <c r="I18" s="29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54</v>
      </c>
      <c r="C19" s="21" t="s">
        <v>55</v>
      </c>
      <c r="D19" s="20"/>
      <c r="E19" s="20" t="s">
        <v>56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58</v>
      </c>
      <c r="C20" s="21" t="s">
        <v>59</v>
      </c>
      <c r="D20" s="20"/>
      <c r="E20" s="20" t="s">
        <v>52</v>
      </c>
      <c r="F20" s="20"/>
      <c r="G20" s="20"/>
      <c r="H20" s="20" t="s">
        <v>37</v>
      </c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61</v>
      </c>
      <c r="C21" s="21" t="s">
        <v>62</v>
      </c>
      <c r="D21" s="20"/>
      <c r="E21" s="20" t="s">
        <v>56</v>
      </c>
      <c r="F21" s="20"/>
      <c r="G21" s="20"/>
      <c r="H21" s="20" t="s">
        <v>37</v>
      </c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 t="s">
        <v>85</v>
      </c>
      <c r="C22" s="21" t="s">
        <v>85</v>
      </c>
      <c r="D22" s="20"/>
      <c r="E22" s="20" t="s">
        <v>48</v>
      </c>
      <c r="F22" s="20"/>
      <c r="G22" s="20"/>
      <c r="H22" s="20"/>
      <c r="I22" s="20">
        <v>0</v>
      </c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/>
      <c r="C23" s="21"/>
      <c r="D23" s="20"/>
      <c r="E23" s="20"/>
      <c r="F23" s="20"/>
      <c r="G23" s="20"/>
      <c r="H23" s="20"/>
      <c r="I23" s="29"/>
      <c r="J23" s="3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/>
      <c r="C24" s="21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/>
      <c r="C25" s="21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/>
      <c r="C28" s="21"/>
      <c r="D28" s="20"/>
      <c r="E28" s="22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1"/>
      <c r="D29" s="20"/>
      <c r="E29" s="20"/>
      <c r="F29" s="20"/>
      <c r="G29" s="20"/>
      <c r="H29" s="20"/>
      <c r="I29" s="29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/>
      <c r="C30" s="21"/>
      <c r="D30" s="20"/>
      <c r="E30" s="20"/>
      <c r="F30" s="20"/>
      <c r="G30" s="20"/>
      <c r="H30" s="20"/>
      <c r="I30" s="29"/>
      <c r="J30" s="3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1"/>
      <c r="C31" s="21"/>
      <c r="D31" s="20"/>
      <c r="E31" s="20"/>
      <c r="F31" s="20"/>
      <c r="G31" s="20"/>
      <c r="H31" s="20"/>
      <c r="I31" s="29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1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1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1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1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allowBlank="1" showInputMessage="1" showErrorMessage="1" sqref="C10 C11 B12 C12 J12 B14 C14 B17 C17 J17 B22:C22 J23 B27:C27 B28 C28 B30 J30 B35:C35 B15:B16 B18:B21 B23:B26 B31:B34 C15:C16 C18:C21 C23:C26 C29:C30 C31:C34 M11:M12"/>
    <dataValidation type="list" allowBlank="1" showInputMessage="1" showErrorMessage="1" sqref="D10 H10 M10:P10 D11 D12 D13 H13 D14 H14 D17 H17 D28 H28 D15:D16 D18:D22 D23:D27 D29:D30 D31:D35 D36:D41 H11:H12 H15:H16 H18:H22 H23:H27 H29:H30 H31:H35 H36:H41">
      <formula1>"○"</formula1>
    </dataValidation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E10 E14 E17 E28 E29 E30 E11:E13 E15:E16 E18:E22 E23:E27 E31:E35 E36:E41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B9" sqref="B9:I24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86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87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 t="shared" ref="A10:A41" si="0"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si="0"/>
        <v>1</v>
      </c>
      <c r="B11" s="22" t="s">
        <v>88</v>
      </c>
      <c r="C11" s="34" t="s">
        <v>89</v>
      </c>
      <c r="D11" s="22"/>
      <c r="E11" s="22" t="s">
        <v>38</v>
      </c>
      <c r="F11" s="22">
        <v>100</v>
      </c>
      <c r="G11" s="22"/>
      <c r="H11" s="22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2" t="s">
        <v>90</v>
      </c>
      <c r="C12" s="22" t="s">
        <v>91</v>
      </c>
      <c r="D12" s="22"/>
      <c r="E12" s="22" t="s">
        <v>38</v>
      </c>
      <c r="F12" s="22">
        <v>10</v>
      </c>
      <c r="G12" s="22"/>
      <c r="H12" s="22"/>
      <c r="I12" s="29"/>
      <c r="J12" s="3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2" t="s">
        <v>92</v>
      </c>
      <c r="C13" s="22" t="s">
        <v>93</v>
      </c>
      <c r="D13" s="22"/>
      <c r="E13" s="22" t="s">
        <v>38</v>
      </c>
      <c r="F13" s="22">
        <v>125</v>
      </c>
      <c r="G13" s="22"/>
      <c r="H13" s="22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2" t="s">
        <v>94</v>
      </c>
      <c r="C14" s="34" t="s">
        <v>95</v>
      </c>
      <c r="D14" s="22"/>
      <c r="E14" s="22" t="s">
        <v>38</v>
      </c>
      <c r="F14" s="22">
        <v>15</v>
      </c>
      <c r="G14" s="22"/>
      <c r="H14" s="22"/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96</v>
      </c>
      <c r="C15" s="21" t="s">
        <v>97</v>
      </c>
      <c r="D15" s="20"/>
      <c r="E15" s="22" t="s">
        <v>98</v>
      </c>
      <c r="F15" s="20">
        <v>5</v>
      </c>
      <c r="G15" s="20">
        <v>3</v>
      </c>
      <c r="H15" s="20"/>
      <c r="I15" s="29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99</v>
      </c>
      <c r="C16" s="21" t="s">
        <v>100</v>
      </c>
      <c r="D16" s="20"/>
      <c r="E16" s="22" t="s">
        <v>48</v>
      </c>
      <c r="F16" s="20">
        <v>1</v>
      </c>
      <c r="G16" s="20"/>
      <c r="H16" s="20"/>
      <c r="I16" s="20">
        <v>3</v>
      </c>
      <c r="J16" s="20" t="s">
        <v>101</v>
      </c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102</v>
      </c>
      <c r="C17" s="21" t="s">
        <v>103</v>
      </c>
      <c r="D17" s="20"/>
      <c r="E17" s="22" t="s">
        <v>38</v>
      </c>
      <c r="F17" s="20">
        <v>15</v>
      </c>
      <c r="G17" s="20"/>
      <c r="H17" s="20" t="s">
        <v>37</v>
      </c>
      <c r="I17" s="29"/>
      <c r="J17" s="33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104</v>
      </c>
      <c r="C18" s="21" t="s">
        <v>105</v>
      </c>
      <c r="D18" s="20"/>
      <c r="E18" s="20" t="s">
        <v>52</v>
      </c>
      <c r="F18" s="20"/>
      <c r="G18" s="20"/>
      <c r="H18" s="20" t="s">
        <v>37</v>
      </c>
      <c r="I18" s="29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106</v>
      </c>
      <c r="C19" s="21" t="s">
        <v>107</v>
      </c>
      <c r="D19" s="20"/>
      <c r="E19" s="20" t="s">
        <v>38</v>
      </c>
      <c r="F19" s="20">
        <v>50</v>
      </c>
      <c r="G19" s="20"/>
      <c r="H19" s="20" t="s">
        <v>37</v>
      </c>
      <c r="I19" s="29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50</v>
      </c>
      <c r="C20" s="21" t="s">
        <v>51</v>
      </c>
      <c r="D20" s="20"/>
      <c r="E20" s="20" t="s">
        <v>52</v>
      </c>
      <c r="F20" s="20"/>
      <c r="G20" s="20"/>
      <c r="H20" s="20" t="s">
        <v>37</v>
      </c>
      <c r="I20" s="29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54</v>
      </c>
      <c r="C21" s="21" t="s">
        <v>55</v>
      </c>
      <c r="D21" s="20"/>
      <c r="E21" s="20" t="s">
        <v>56</v>
      </c>
      <c r="F21" s="20"/>
      <c r="G21" s="20"/>
      <c r="H21" s="20" t="s">
        <v>37</v>
      </c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 t="s">
        <v>58</v>
      </c>
      <c r="C22" s="21" t="s">
        <v>59</v>
      </c>
      <c r="D22" s="20"/>
      <c r="E22" s="20" t="s">
        <v>52</v>
      </c>
      <c r="F22" s="20"/>
      <c r="G22" s="20"/>
      <c r="H22" s="20" t="s">
        <v>37</v>
      </c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 t="s">
        <v>61</v>
      </c>
      <c r="C23" s="21" t="s">
        <v>62</v>
      </c>
      <c r="D23" s="20"/>
      <c r="E23" s="20" t="s">
        <v>56</v>
      </c>
      <c r="F23" s="20"/>
      <c r="G23" s="20"/>
      <c r="H23" s="20" t="s">
        <v>37</v>
      </c>
      <c r="I23" s="20"/>
      <c r="J23" s="3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 t="s">
        <v>85</v>
      </c>
      <c r="C24" s="21" t="s">
        <v>85</v>
      </c>
      <c r="D24" s="20"/>
      <c r="E24" s="20" t="s">
        <v>48</v>
      </c>
      <c r="F24" s="20"/>
      <c r="G24" s="20"/>
      <c r="H24" s="20"/>
      <c r="I24" s="20">
        <v>0</v>
      </c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/>
      <c r="C25" s="21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/>
      <c r="C28" s="21"/>
      <c r="D28" s="20"/>
      <c r="E28" s="22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1"/>
      <c r="D29" s="20"/>
      <c r="E29" s="20"/>
      <c r="F29" s="20"/>
      <c r="G29" s="20"/>
      <c r="H29" s="20"/>
      <c r="I29" s="29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/>
      <c r="C30" s="21"/>
      <c r="D30" s="20"/>
      <c r="E30" s="20"/>
      <c r="F30" s="20"/>
      <c r="G30" s="20"/>
      <c r="H30" s="20"/>
      <c r="I30" s="29"/>
      <c r="J30" s="3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1"/>
      <c r="C31" s="21"/>
      <c r="D31" s="20"/>
      <c r="E31" s="20"/>
      <c r="F31" s="20"/>
      <c r="G31" s="20"/>
      <c r="H31" s="20"/>
      <c r="I31" s="29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1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1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1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1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allowBlank="1" showInputMessage="1" showErrorMessage="1" sqref="C10 C11 J12 C14 B17 C17 B18 C18 B19 C19 J23 B24:C24 B27:C27 B28 C28 B30 J30 B35:C35 B15:B16 B20:B23 B25:B26 B31:B34 C15:C16 C20:C23 C25:C26 C29:C30 C31:C34 M11:M12"/>
    <dataValidation type="list" allowBlank="1" showInputMessage="1" showErrorMessage="1" sqref="D10 H10 M10:P10 D13 H13 D14 H14 D17 H17 D18 H18 D19 H19 D28 H28 D11:D12 D15:D16 D20:D24 D25:D27 D29:D30 D31:D35 D36:D41 H11:H12 H15:H16 H20:H24 H25:H27 H29:H30 H31:H35 H36:H41">
      <formula1>"○"</formula1>
    </dataValidation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E10 E17 E18 E19 E28 E29 E30 E11:E16 E20:E24 E25:E27 E31:E35 E36:E41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J16" sqref="C16:J16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108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109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 t="s">
        <v>37</v>
      </c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110</v>
      </c>
      <c r="C11" s="21" t="s">
        <v>111</v>
      </c>
      <c r="D11" s="20"/>
      <c r="E11" s="20" t="s">
        <v>38</v>
      </c>
      <c r="F11" s="20">
        <v>20</v>
      </c>
      <c r="G11" s="20"/>
      <c r="H11" s="20"/>
      <c r="I11" s="20"/>
      <c r="J11" s="20"/>
      <c r="K11" s="26"/>
      <c r="L11" s="27" t="s">
        <v>42</v>
      </c>
      <c r="M11" s="28" t="s">
        <v>111</v>
      </c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112</v>
      </c>
      <c r="C12" s="21" t="s">
        <v>113</v>
      </c>
      <c r="D12" s="20"/>
      <c r="E12" s="20" t="s">
        <v>38</v>
      </c>
      <c r="F12" s="20">
        <v>200</v>
      </c>
      <c r="G12" s="20"/>
      <c r="H12" s="20" t="s">
        <v>37</v>
      </c>
      <c r="I12" s="29"/>
      <c r="J12" s="30"/>
      <c r="K12" s="26"/>
      <c r="L12" s="27" t="s">
        <v>45</v>
      </c>
      <c r="M12" s="28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114</v>
      </c>
      <c r="C13" s="21" t="s">
        <v>115</v>
      </c>
      <c r="D13" s="20"/>
      <c r="E13" s="20" t="s">
        <v>38</v>
      </c>
      <c r="F13" s="20">
        <v>50</v>
      </c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116</v>
      </c>
      <c r="C14" s="21" t="s">
        <v>117</v>
      </c>
      <c r="D14" s="20"/>
      <c r="E14" s="20" t="s">
        <v>38</v>
      </c>
      <c r="F14" s="20">
        <v>50</v>
      </c>
      <c r="G14" s="20"/>
      <c r="H14" s="20" t="s">
        <v>37</v>
      </c>
      <c r="I14" s="29"/>
      <c r="J14" s="3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0" t="s">
        <v>118</v>
      </c>
      <c r="C15" s="21" t="s">
        <v>119</v>
      </c>
      <c r="D15" s="20"/>
      <c r="E15" s="20" t="s">
        <v>38</v>
      </c>
      <c r="F15" s="20">
        <v>50</v>
      </c>
      <c r="G15" s="20"/>
      <c r="H15" s="20"/>
      <c r="I15" s="29"/>
      <c r="J15" s="3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0" t="s">
        <v>120</v>
      </c>
      <c r="C16" s="21" t="s">
        <v>121</v>
      </c>
      <c r="D16" s="20"/>
      <c r="E16" s="20" t="s">
        <v>48</v>
      </c>
      <c r="F16" s="20">
        <v>1</v>
      </c>
      <c r="G16" s="20"/>
      <c r="H16" s="20" t="s">
        <v>37</v>
      </c>
      <c r="I16" s="29"/>
      <c r="J16" s="30" t="s">
        <v>122</v>
      </c>
      <c r="K16" s="26"/>
      <c r="L16" s="27" t="s">
        <v>60</v>
      </c>
      <c r="M16" s="28"/>
      <c r="N16" s="28"/>
      <c r="O16" s="28"/>
      <c r="P16" s="28"/>
    </row>
    <row r="17" spans="1:28" s="7" customFormat="1">
      <c r="A17" s="19">
        <f t="shared" si="0"/>
        <v>7</v>
      </c>
      <c r="B17" s="20" t="s">
        <v>123</v>
      </c>
      <c r="C17" s="21" t="s">
        <v>124</v>
      </c>
      <c r="D17" s="20"/>
      <c r="E17" s="20" t="s">
        <v>48</v>
      </c>
      <c r="F17" s="20">
        <v>1</v>
      </c>
      <c r="G17" s="20"/>
      <c r="H17" s="20"/>
      <c r="I17" s="29"/>
      <c r="J17" s="30" t="s">
        <v>125</v>
      </c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0" t="s">
        <v>126</v>
      </c>
      <c r="C18" s="21" t="s">
        <v>127</v>
      </c>
      <c r="D18" s="20"/>
      <c r="E18" s="20" t="s">
        <v>52</v>
      </c>
      <c r="F18" s="20"/>
      <c r="G18" s="20"/>
      <c r="H18" s="20" t="s">
        <v>37</v>
      </c>
      <c r="I18" s="29"/>
      <c r="J18" s="3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128</v>
      </c>
      <c r="C19" s="21" t="s">
        <v>129</v>
      </c>
      <c r="D19" s="20"/>
      <c r="E19" s="20" t="s">
        <v>38</v>
      </c>
      <c r="F19" s="20">
        <v>50</v>
      </c>
      <c r="G19" s="20"/>
      <c r="H19" s="20" t="s">
        <v>37</v>
      </c>
      <c r="I19" s="20"/>
      <c r="J19" s="3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0" t="s">
        <v>130</v>
      </c>
      <c r="C20" s="21" t="s">
        <v>131</v>
      </c>
      <c r="D20" s="20"/>
      <c r="E20" s="20" t="s">
        <v>38</v>
      </c>
      <c r="F20" s="20">
        <v>250</v>
      </c>
      <c r="G20" s="20"/>
      <c r="H20" s="20" t="s">
        <v>37</v>
      </c>
      <c r="I20" s="29"/>
      <c r="J20" s="3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82</v>
      </c>
      <c r="C21" s="21" t="s">
        <v>83</v>
      </c>
      <c r="D21" s="20"/>
      <c r="E21" s="20" t="s">
        <v>48</v>
      </c>
      <c r="F21" s="20">
        <v>1</v>
      </c>
      <c r="G21" s="20"/>
      <c r="H21" s="20"/>
      <c r="I21" s="20">
        <v>0</v>
      </c>
      <c r="J21" s="30" t="s">
        <v>84</v>
      </c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 t="s">
        <v>50</v>
      </c>
      <c r="C22" s="21" t="s">
        <v>51</v>
      </c>
      <c r="D22" s="20"/>
      <c r="E22" s="20" t="s">
        <v>52</v>
      </c>
      <c r="F22" s="20"/>
      <c r="G22" s="20"/>
      <c r="H22" s="20" t="s">
        <v>37</v>
      </c>
      <c r="I22" s="29"/>
      <c r="J22" s="3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 t="s">
        <v>54</v>
      </c>
      <c r="C23" s="21" t="s">
        <v>55</v>
      </c>
      <c r="D23" s="20"/>
      <c r="E23" s="20" t="s">
        <v>56</v>
      </c>
      <c r="F23" s="20"/>
      <c r="G23" s="20"/>
      <c r="H23" s="20" t="s">
        <v>37</v>
      </c>
      <c r="I23" s="20"/>
      <c r="J23" s="3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 t="s">
        <v>58</v>
      </c>
      <c r="C24" s="21" t="s">
        <v>59</v>
      </c>
      <c r="D24" s="20"/>
      <c r="E24" s="20" t="s">
        <v>52</v>
      </c>
      <c r="F24" s="20"/>
      <c r="G24" s="20"/>
      <c r="H24" s="20" t="s">
        <v>37</v>
      </c>
      <c r="I24" s="20"/>
      <c r="J24" s="33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 t="s">
        <v>61</v>
      </c>
      <c r="C25" s="21" t="s">
        <v>62</v>
      </c>
      <c r="D25" s="20"/>
      <c r="E25" s="20" t="s">
        <v>56</v>
      </c>
      <c r="F25" s="20"/>
      <c r="G25" s="20"/>
      <c r="H25" s="20" t="s">
        <v>37</v>
      </c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 t="s">
        <v>85</v>
      </c>
      <c r="C26" s="21" t="s">
        <v>85</v>
      </c>
      <c r="D26" s="20"/>
      <c r="E26" s="20" t="s">
        <v>48</v>
      </c>
      <c r="F26" s="20"/>
      <c r="G26" s="20"/>
      <c r="H26" s="20"/>
      <c r="I26" s="20">
        <v>0</v>
      </c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0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0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0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27 H27 D10:D19 D20:D21 D22:D26 D28:D41 H10:H17 H18:H19 H20:H21 H22:H26 H28:H41">
      <formula1>"○"</formula1>
    </dataValidation>
    <dataValidation allowBlank="1" showInputMessage="1" showErrorMessage="1" sqref="J12 B19 B21 J23 B26:C26 B27:C27 B22:B25 C10:C19 C20:C21 C22:C25 J14:J19 J20:J22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E16 E17 E18 E19 E27 E10:E15 E20:E21 E22:E26 E28:E41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5" zoomScaleNormal="100" zoomScaleSheetLayoutView="115" workbookViewId="0">
      <selection activeCell="B17" sqref="B17:I17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132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133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114</v>
      </c>
      <c r="C11" s="21" t="s">
        <v>44</v>
      </c>
      <c r="D11" s="20"/>
      <c r="E11" s="20" t="s">
        <v>38</v>
      </c>
      <c r="F11" s="20">
        <v>50</v>
      </c>
      <c r="G11" s="20"/>
      <c r="H11" s="20"/>
      <c r="I11" s="20"/>
      <c r="J11" s="20"/>
      <c r="K11" s="26"/>
      <c r="L11" s="27" t="s">
        <v>42</v>
      </c>
      <c r="M11" s="28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116</v>
      </c>
      <c r="C12" s="21" t="s">
        <v>134</v>
      </c>
      <c r="D12" s="20"/>
      <c r="E12" s="20" t="s">
        <v>38</v>
      </c>
      <c r="F12" s="20">
        <v>50</v>
      </c>
      <c r="G12" s="20"/>
      <c r="H12" s="20" t="s">
        <v>37</v>
      </c>
      <c r="I12" s="29"/>
      <c r="J12" s="30"/>
      <c r="K12" s="26"/>
      <c r="L12" s="27" t="s">
        <v>45</v>
      </c>
      <c r="M12" s="28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120</v>
      </c>
      <c r="C13" s="21" t="s">
        <v>121</v>
      </c>
      <c r="D13" s="20"/>
      <c r="E13" s="20" t="s">
        <v>38</v>
      </c>
      <c r="F13" s="20">
        <v>50</v>
      </c>
      <c r="G13" s="20"/>
      <c r="H13" s="20" t="s">
        <v>37</v>
      </c>
      <c r="I13" s="29"/>
      <c r="J13" s="3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135</v>
      </c>
      <c r="C14" s="21" t="s">
        <v>136</v>
      </c>
      <c r="D14" s="20"/>
      <c r="E14" s="20" t="s">
        <v>38</v>
      </c>
      <c r="F14" s="20">
        <v>15</v>
      </c>
      <c r="G14" s="20"/>
      <c r="H14" s="20" t="s">
        <v>37</v>
      </c>
      <c r="I14" s="29"/>
      <c r="J14" s="3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0" t="s">
        <v>130</v>
      </c>
      <c r="C15" s="21" t="s">
        <v>131</v>
      </c>
      <c r="D15" s="20"/>
      <c r="E15" s="20" t="s">
        <v>38</v>
      </c>
      <c r="F15" s="20">
        <v>250</v>
      </c>
      <c r="G15" s="20"/>
      <c r="H15" s="20" t="s">
        <v>37</v>
      </c>
      <c r="I15" s="29"/>
      <c r="J15" s="3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82</v>
      </c>
      <c r="C16" s="21" t="s">
        <v>83</v>
      </c>
      <c r="D16" s="20"/>
      <c r="E16" s="20" t="s">
        <v>48</v>
      </c>
      <c r="F16" s="20">
        <v>1</v>
      </c>
      <c r="G16" s="20"/>
      <c r="H16" s="20"/>
      <c r="I16" s="20">
        <v>0</v>
      </c>
      <c r="J16" s="30" t="s">
        <v>84</v>
      </c>
      <c r="K16" s="26"/>
      <c r="L16" s="27" t="s">
        <v>60</v>
      </c>
      <c r="M16" s="28"/>
      <c r="N16" s="28"/>
      <c r="O16" s="28"/>
      <c r="P16" s="28"/>
    </row>
    <row r="17" spans="1:28" s="7" customFormat="1">
      <c r="A17" s="19">
        <f t="shared" si="0"/>
        <v>7</v>
      </c>
      <c r="B17" s="21" t="s">
        <v>46</v>
      </c>
      <c r="C17" s="21" t="s">
        <v>47</v>
      </c>
      <c r="D17" s="20"/>
      <c r="E17" s="20" t="s">
        <v>48</v>
      </c>
      <c r="F17" s="20"/>
      <c r="G17" s="20"/>
      <c r="H17" s="20"/>
      <c r="I17" s="20"/>
      <c r="J17" s="3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50</v>
      </c>
      <c r="C18" s="21" t="s">
        <v>51</v>
      </c>
      <c r="D18" s="20"/>
      <c r="E18" s="20" t="s">
        <v>52</v>
      </c>
      <c r="F18" s="20"/>
      <c r="G18" s="20"/>
      <c r="H18" s="20" t="s">
        <v>37</v>
      </c>
      <c r="I18" s="29"/>
      <c r="J18" s="33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54</v>
      </c>
      <c r="C19" s="21" t="s">
        <v>55</v>
      </c>
      <c r="D19" s="20"/>
      <c r="E19" s="20" t="s">
        <v>56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58</v>
      </c>
      <c r="C20" s="21" t="s">
        <v>59</v>
      </c>
      <c r="D20" s="20"/>
      <c r="E20" s="20" t="s">
        <v>52</v>
      </c>
      <c r="F20" s="20"/>
      <c r="G20" s="20"/>
      <c r="H20" s="20" t="s">
        <v>37</v>
      </c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61</v>
      </c>
      <c r="C21" s="21" t="s">
        <v>62</v>
      </c>
      <c r="D21" s="20"/>
      <c r="E21" s="20" t="s">
        <v>56</v>
      </c>
      <c r="F21" s="20"/>
      <c r="G21" s="20"/>
      <c r="H21" s="20" t="s">
        <v>37</v>
      </c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 t="s">
        <v>85</v>
      </c>
      <c r="C22" s="21" t="s">
        <v>85</v>
      </c>
      <c r="D22" s="20"/>
      <c r="E22" s="20" t="s">
        <v>48</v>
      </c>
      <c r="F22" s="20"/>
      <c r="G22" s="20"/>
      <c r="H22" s="20"/>
      <c r="I22" s="20">
        <v>0</v>
      </c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0"/>
      <c r="C23" s="21"/>
      <c r="D23" s="20"/>
      <c r="E23" s="20"/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/>
      <c r="C24" s="21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0"/>
      <c r="C25" s="20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/>
      <c r="C26" s="20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/>
      <c r="C27" s="20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0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0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0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17 H17 D10:D16 D18:D22 D23:D41 H10:H16 H18:H22 H23:H41">
      <formula1>"○"</formula1>
    </dataValidation>
    <dataValidation allowBlank="1" showInputMessage="1" showErrorMessage="1" sqref="B16 B17:C17 B22:C22 C23 C24 B18:B21 C10:C16 C18:C21 J12:J17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E17 E10:E16 E18:E22 E23:E41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H14" sqref="H14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137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138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 t="s">
        <v>37</v>
      </c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139</v>
      </c>
      <c r="C11" s="21" t="s">
        <v>140</v>
      </c>
      <c r="D11" s="20"/>
      <c r="E11" s="20" t="s">
        <v>38</v>
      </c>
      <c r="F11" s="20">
        <v>50</v>
      </c>
      <c r="G11" s="20"/>
      <c r="H11" s="20"/>
      <c r="I11" s="20"/>
      <c r="J11" s="20"/>
      <c r="K11" s="26"/>
      <c r="L11" s="27" t="s">
        <v>42</v>
      </c>
      <c r="M11" s="35" t="s">
        <v>140</v>
      </c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141</v>
      </c>
      <c r="C12" s="21" t="s">
        <v>142</v>
      </c>
      <c r="D12" s="20"/>
      <c r="E12" s="20" t="s">
        <v>38</v>
      </c>
      <c r="F12" s="20">
        <v>50</v>
      </c>
      <c r="G12" s="20"/>
      <c r="H12" s="20"/>
      <c r="I12" s="29"/>
      <c r="J12" s="30"/>
      <c r="K12" s="26"/>
      <c r="L12" s="27" t="s">
        <v>45</v>
      </c>
      <c r="M12" s="35" t="s">
        <v>142</v>
      </c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143</v>
      </c>
      <c r="C13" s="21" t="s">
        <v>144</v>
      </c>
      <c r="D13" s="20"/>
      <c r="E13" s="20" t="s">
        <v>145</v>
      </c>
      <c r="F13" s="20"/>
      <c r="G13" s="20"/>
      <c r="H13" s="20"/>
      <c r="I13" s="20"/>
      <c r="J13" s="3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146</v>
      </c>
      <c r="C14" s="21" t="s">
        <v>147</v>
      </c>
      <c r="D14" s="20"/>
      <c r="E14" s="20" t="s">
        <v>145</v>
      </c>
      <c r="F14" s="20"/>
      <c r="G14" s="20"/>
      <c r="H14" s="20"/>
      <c r="I14" s="29"/>
      <c r="J14" s="3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2" t="s">
        <v>148</v>
      </c>
      <c r="C15" s="34" t="s">
        <v>149</v>
      </c>
      <c r="D15" s="22"/>
      <c r="E15" s="22" t="s">
        <v>48</v>
      </c>
      <c r="F15" s="22"/>
      <c r="G15" s="22"/>
      <c r="H15" s="22"/>
      <c r="I15" s="22">
        <v>0</v>
      </c>
      <c r="J15" s="3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2" t="s">
        <v>150</v>
      </c>
      <c r="C16" s="34" t="s">
        <v>151</v>
      </c>
      <c r="D16" s="22"/>
      <c r="E16" s="22" t="s">
        <v>152</v>
      </c>
      <c r="F16" s="22">
        <v>10</v>
      </c>
      <c r="G16" s="22"/>
      <c r="H16" s="22" t="s">
        <v>37</v>
      </c>
      <c r="I16" s="36"/>
      <c r="J16" s="30"/>
      <c r="K16" s="26"/>
      <c r="L16" s="27" t="s">
        <v>60</v>
      </c>
      <c r="M16" s="28"/>
      <c r="N16" s="28"/>
      <c r="O16" s="28"/>
      <c r="P16" s="28"/>
    </row>
    <row r="17" spans="1:28" s="7" customFormat="1">
      <c r="A17" s="19">
        <f t="shared" si="0"/>
        <v>7</v>
      </c>
      <c r="B17" s="22" t="s">
        <v>153</v>
      </c>
      <c r="C17" s="34" t="s">
        <v>154</v>
      </c>
      <c r="D17" s="22"/>
      <c r="E17" s="22" t="s">
        <v>48</v>
      </c>
      <c r="F17" s="22"/>
      <c r="G17" s="22"/>
      <c r="H17" s="22" t="s">
        <v>37</v>
      </c>
      <c r="I17" s="36"/>
      <c r="J17" s="3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2" t="s">
        <v>155</v>
      </c>
      <c r="C18" s="34" t="s">
        <v>156</v>
      </c>
      <c r="D18" s="22"/>
      <c r="E18" s="22" t="s">
        <v>38</v>
      </c>
      <c r="F18" s="22">
        <v>10</v>
      </c>
      <c r="G18" s="22"/>
      <c r="H18" s="22" t="s">
        <v>37</v>
      </c>
      <c r="I18" s="36"/>
      <c r="J18" s="3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2" t="s">
        <v>157</v>
      </c>
      <c r="C19" s="34" t="s">
        <v>158</v>
      </c>
      <c r="D19" s="22"/>
      <c r="E19" s="22" t="s">
        <v>48</v>
      </c>
      <c r="F19" s="22"/>
      <c r="G19" s="22"/>
      <c r="H19" s="22" t="s">
        <v>37</v>
      </c>
      <c r="I19" s="22"/>
      <c r="J19" s="3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2" t="s">
        <v>159</v>
      </c>
      <c r="C20" s="34" t="s">
        <v>160</v>
      </c>
      <c r="D20" s="22"/>
      <c r="E20" s="22" t="s">
        <v>48</v>
      </c>
      <c r="F20" s="22"/>
      <c r="G20" s="22"/>
      <c r="H20" s="22"/>
      <c r="I20" s="36"/>
      <c r="J20" s="30" t="s">
        <v>84</v>
      </c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2" t="s">
        <v>130</v>
      </c>
      <c r="C21" s="34" t="s">
        <v>131</v>
      </c>
      <c r="D21" s="22"/>
      <c r="E21" s="22" t="s">
        <v>38</v>
      </c>
      <c r="F21" s="22">
        <v>500</v>
      </c>
      <c r="G21" s="22"/>
      <c r="H21" s="22" t="s">
        <v>37</v>
      </c>
      <c r="I21" s="36"/>
      <c r="J21" s="3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34" t="s">
        <v>82</v>
      </c>
      <c r="C22" s="34" t="s">
        <v>83</v>
      </c>
      <c r="D22" s="22"/>
      <c r="E22" s="22" t="s">
        <v>48</v>
      </c>
      <c r="F22" s="22">
        <v>1</v>
      </c>
      <c r="G22" s="22"/>
      <c r="H22" s="22"/>
      <c r="I22" s="22">
        <v>0</v>
      </c>
      <c r="J22" s="33"/>
      <c r="K22" s="26"/>
      <c r="L22" s="25"/>
      <c r="N22" s="31"/>
    </row>
    <row r="23" spans="1:28" s="7" customFormat="1" ht="15.75" customHeight="1">
      <c r="A23" s="19">
        <f t="shared" si="0"/>
        <v>13</v>
      </c>
      <c r="B23" s="34" t="s">
        <v>50</v>
      </c>
      <c r="C23" s="34" t="s">
        <v>51</v>
      </c>
      <c r="D23" s="22"/>
      <c r="E23" s="22" t="s">
        <v>52</v>
      </c>
      <c r="F23" s="22"/>
      <c r="G23" s="22"/>
      <c r="H23" s="22" t="s">
        <v>37</v>
      </c>
      <c r="I23" s="36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34" t="s">
        <v>54</v>
      </c>
      <c r="C24" s="34" t="s">
        <v>55</v>
      </c>
      <c r="D24" s="22"/>
      <c r="E24" s="22" t="s">
        <v>56</v>
      </c>
      <c r="F24" s="22"/>
      <c r="G24" s="22"/>
      <c r="H24" s="22" t="s">
        <v>37</v>
      </c>
      <c r="I24" s="22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34" t="s">
        <v>58</v>
      </c>
      <c r="C25" s="34" t="s">
        <v>59</v>
      </c>
      <c r="D25" s="22"/>
      <c r="E25" s="22" t="s">
        <v>52</v>
      </c>
      <c r="F25" s="22"/>
      <c r="G25" s="22"/>
      <c r="H25" s="22" t="s">
        <v>37</v>
      </c>
      <c r="I25" s="22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34" t="s">
        <v>61</v>
      </c>
      <c r="C26" s="34" t="s">
        <v>62</v>
      </c>
      <c r="D26" s="22"/>
      <c r="E26" s="22" t="s">
        <v>56</v>
      </c>
      <c r="F26" s="22"/>
      <c r="G26" s="22"/>
      <c r="H26" s="22" t="s">
        <v>37</v>
      </c>
      <c r="I26" s="22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34" t="s">
        <v>85</v>
      </c>
      <c r="C27" s="34" t="s">
        <v>85</v>
      </c>
      <c r="D27" s="22"/>
      <c r="E27" s="22" t="s">
        <v>48</v>
      </c>
      <c r="F27" s="22"/>
      <c r="G27" s="22"/>
      <c r="H27" s="22"/>
      <c r="I27" s="22">
        <v>0</v>
      </c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0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0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0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H15 D10:D14 D15:D27 D28:D41 H10:H14 H16:H19 H20:H27 H28:H41">
      <formula1>"○"</formula1>
    </dataValidation>
    <dataValidation allowBlank="1" showInputMessage="1" showErrorMessage="1" sqref="B27:C27 B22:B26 C10:C14 C15:C26 J12:J21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E14 E10:E13 E15:E27 E28:E41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C7" sqref="C7:E7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161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162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1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163</v>
      </c>
      <c r="C11" s="21" t="s">
        <v>164</v>
      </c>
      <c r="D11" s="20"/>
      <c r="E11" s="20" t="s">
        <v>38</v>
      </c>
      <c r="F11" s="20">
        <v>100</v>
      </c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165</v>
      </c>
      <c r="C12" s="21" t="s">
        <v>166</v>
      </c>
      <c r="D12" s="20"/>
      <c r="E12" s="20" t="s">
        <v>38</v>
      </c>
      <c r="F12" s="20">
        <v>50</v>
      </c>
      <c r="G12" s="20"/>
      <c r="H12" s="20" t="s">
        <v>37</v>
      </c>
      <c r="I12" s="20"/>
      <c r="J12" s="33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92</v>
      </c>
      <c r="C13" s="21" t="s">
        <v>93</v>
      </c>
      <c r="D13" s="20"/>
      <c r="E13" s="20" t="s">
        <v>38</v>
      </c>
      <c r="F13" s="20">
        <v>100</v>
      </c>
      <c r="G13" s="20"/>
      <c r="H13" s="20" t="s">
        <v>37</v>
      </c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94</v>
      </c>
      <c r="C14" s="21" t="s">
        <v>136</v>
      </c>
      <c r="D14" s="20"/>
      <c r="E14" s="20" t="s">
        <v>38</v>
      </c>
      <c r="F14" s="20">
        <v>15</v>
      </c>
      <c r="G14" s="20"/>
      <c r="H14" s="20" t="s">
        <v>37</v>
      </c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82</v>
      </c>
      <c r="C15" s="21" t="s">
        <v>83</v>
      </c>
      <c r="D15" s="20"/>
      <c r="E15" s="20" t="s">
        <v>48</v>
      </c>
      <c r="F15" s="20">
        <v>1</v>
      </c>
      <c r="G15" s="20"/>
      <c r="H15" s="20"/>
      <c r="I15" s="20">
        <v>0</v>
      </c>
      <c r="J15" s="30" t="s">
        <v>84</v>
      </c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46</v>
      </c>
      <c r="C16" s="21" t="s">
        <v>47</v>
      </c>
      <c r="D16" s="20"/>
      <c r="E16" s="20" t="s">
        <v>48</v>
      </c>
      <c r="F16" s="20"/>
      <c r="G16" s="20"/>
      <c r="H16" s="20"/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50</v>
      </c>
      <c r="C17" s="21" t="s">
        <v>51</v>
      </c>
      <c r="D17" s="20"/>
      <c r="E17" s="20" t="s">
        <v>52</v>
      </c>
      <c r="F17" s="20"/>
      <c r="G17" s="20"/>
      <c r="H17" s="20" t="s">
        <v>37</v>
      </c>
      <c r="I17" s="20"/>
      <c r="J17" s="2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54</v>
      </c>
      <c r="C18" s="21" t="s">
        <v>55</v>
      </c>
      <c r="D18" s="20"/>
      <c r="E18" s="20" t="s">
        <v>56</v>
      </c>
      <c r="F18" s="20"/>
      <c r="G18" s="20"/>
      <c r="H18" s="20" t="s">
        <v>37</v>
      </c>
      <c r="I18" s="20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58</v>
      </c>
      <c r="C19" s="21" t="s">
        <v>59</v>
      </c>
      <c r="D19" s="20"/>
      <c r="E19" s="20" t="s">
        <v>52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61</v>
      </c>
      <c r="C20" s="21" t="s">
        <v>62</v>
      </c>
      <c r="D20" s="20"/>
      <c r="E20" s="20" t="s">
        <v>56</v>
      </c>
      <c r="F20" s="20"/>
      <c r="G20" s="20"/>
      <c r="H20" s="20" t="s">
        <v>37</v>
      </c>
      <c r="I20" s="20"/>
      <c r="J20" s="20" t="s">
        <v>167</v>
      </c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85</v>
      </c>
      <c r="C21" s="21" t="s">
        <v>85</v>
      </c>
      <c r="D21" s="20"/>
      <c r="E21" s="20" t="s">
        <v>48</v>
      </c>
      <c r="F21" s="20"/>
      <c r="G21" s="20"/>
      <c r="H21" s="20"/>
      <c r="I21" s="20">
        <v>0</v>
      </c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/>
      <c r="C22" s="21"/>
      <c r="D22" s="20"/>
      <c r="E22" s="20"/>
      <c r="F22" s="20"/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/>
      <c r="C23" s="21"/>
      <c r="D23" s="20"/>
      <c r="E23" s="20"/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/>
      <c r="C24" s="21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/>
      <c r="C25" s="21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1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1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1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1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allowBlank="1" showInputMessage="1" showErrorMessage="1" sqref="B10 B15 J15 B16:C16 B21:C21 B22:C22 B25 C10:C15 C25:C33 M11:M12 B23:C24 B17:C20"/>
    <dataValidation type="list" allowBlank="1" showInputMessage="1" showErrorMessage="1" sqref="M10:P10 D10:D16 D17:D21 D22:D41 H10:H16 H17:H21 H22:H41">
      <formula1>"○"</formula1>
    </dataValidation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E16 E10:E15 E17:E21 E22:E41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C11" sqref="C11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168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169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/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170</v>
      </c>
      <c r="C11" s="21" t="s">
        <v>171</v>
      </c>
      <c r="D11" s="20"/>
      <c r="E11" s="20" t="s">
        <v>52</v>
      </c>
      <c r="F11" s="20"/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172</v>
      </c>
      <c r="C12" s="21" t="s">
        <v>173</v>
      </c>
      <c r="D12" s="20"/>
      <c r="E12" s="20" t="s">
        <v>38</v>
      </c>
      <c r="F12" s="20">
        <v>100</v>
      </c>
      <c r="G12" s="20"/>
      <c r="H12" s="20"/>
      <c r="I12" s="20"/>
      <c r="J12" s="2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174</v>
      </c>
      <c r="C13" s="21" t="s">
        <v>175</v>
      </c>
      <c r="D13" s="20"/>
      <c r="E13" s="20" t="s">
        <v>38</v>
      </c>
      <c r="F13" s="20">
        <v>100</v>
      </c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94</v>
      </c>
      <c r="C14" s="21" t="s">
        <v>136</v>
      </c>
      <c r="D14" s="20"/>
      <c r="E14" s="20" t="s">
        <v>38</v>
      </c>
      <c r="F14" s="20">
        <v>15</v>
      </c>
      <c r="G14" s="20"/>
      <c r="H14" s="20"/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82</v>
      </c>
      <c r="C15" s="21" t="s">
        <v>83</v>
      </c>
      <c r="D15" s="20"/>
      <c r="E15" s="20" t="s">
        <v>48</v>
      </c>
      <c r="F15" s="20">
        <v>1</v>
      </c>
      <c r="G15" s="20"/>
      <c r="H15" s="20"/>
      <c r="I15" s="20">
        <v>0</v>
      </c>
      <c r="J15" s="30" t="s">
        <v>84</v>
      </c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46</v>
      </c>
      <c r="C16" s="21" t="s">
        <v>47</v>
      </c>
      <c r="D16" s="20"/>
      <c r="E16" s="20" t="s">
        <v>48</v>
      </c>
      <c r="F16" s="20"/>
      <c r="G16" s="20"/>
      <c r="H16" s="20"/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50</v>
      </c>
      <c r="C17" s="21" t="s">
        <v>51</v>
      </c>
      <c r="D17" s="20"/>
      <c r="E17" s="20" t="s">
        <v>52</v>
      </c>
      <c r="F17" s="20"/>
      <c r="G17" s="20"/>
      <c r="H17" s="20" t="s">
        <v>37</v>
      </c>
      <c r="I17" s="20"/>
      <c r="J17" s="2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54</v>
      </c>
      <c r="C18" s="21" t="s">
        <v>55</v>
      </c>
      <c r="D18" s="20"/>
      <c r="E18" s="20" t="s">
        <v>56</v>
      </c>
      <c r="F18" s="20"/>
      <c r="G18" s="20"/>
      <c r="H18" s="20" t="s">
        <v>37</v>
      </c>
      <c r="I18" s="20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58</v>
      </c>
      <c r="C19" s="21" t="s">
        <v>59</v>
      </c>
      <c r="D19" s="20"/>
      <c r="E19" s="20" t="s">
        <v>52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61</v>
      </c>
      <c r="C20" s="21" t="s">
        <v>62</v>
      </c>
      <c r="D20" s="20"/>
      <c r="E20" s="20" t="s">
        <v>56</v>
      </c>
      <c r="F20" s="20"/>
      <c r="G20" s="20"/>
      <c r="H20" s="20" t="s">
        <v>37</v>
      </c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85</v>
      </c>
      <c r="C21" s="21" t="s">
        <v>85</v>
      </c>
      <c r="D21" s="20"/>
      <c r="E21" s="20" t="s">
        <v>48</v>
      </c>
      <c r="F21" s="20"/>
      <c r="G21" s="20"/>
      <c r="H21" s="20"/>
      <c r="I21" s="20">
        <v>0</v>
      </c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/>
      <c r="C22" s="21"/>
      <c r="D22" s="20"/>
      <c r="E22" s="20"/>
      <c r="F22" s="20"/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0"/>
      <c r="C23" s="21"/>
      <c r="D23" s="20"/>
      <c r="E23" s="20"/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/>
      <c r="C24" s="21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0"/>
      <c r="C25" s="21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/>
      <c r="C28" s="21"/>
      <c r="D28" s="20"/>
      <c r="E28" s="20"/>
      <c r="F28" s="20"/>
      <c r="G28" s="20"/>
      <c r="H28" s="20"/>
      <c r="I28" s="20"/>
      <c r="J28" s="3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1"/>
      <c r="C29" s="21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/>
      <c r="C30" s="21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1"/>
      <c r="C31" s="21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1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1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16 H16 D22 H22 D10:D15 D17:D21 D23:D41 H10:H15 H17:H21 H23:H41">
      <formula1>"○"</formula1>
    </dataValidation>
    <dataValidation allowBlank="1" showInputMessage="1" showErrorMessage="1" sqref="B15 J15 B16:C16 B21:C21 B22:C22 B28 J28 B33:C33 C10:C15 C23:C28 M11:M12 B29:C32 B17:C20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E16 E22 E10:E15 E17:E21 E23:E41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topLeftCell="A7" zoomScale="110" zoomScaleNormal="100" zoomScaleSheetLayoutView="110" workbookViewId="0">
      <selection activeCell="C10" sqref="C10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176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177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/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170</v>
      </c>
      <c r="C11" s="21" t="s">
        <v>171</v>
      </c>
      <c r="D11" s="20"/>
      <c r="E11" s="20" t="s">
        <v>52</v>
      </c>
      <c r="F11" s="20"/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178</v>
      </c>
      <c r="C12" s="21" t="s">
        <v>179</v>
      </c>
      <c r="D12" s="20"/>
      <c r="E12" s="20" t="s">
        <v>38</v>
      </c>
      <c r="F12" s="20">
        <v>50</v>
      </c>
      <c r="G12" s="20"/>
      <c r="H12" s="20" t="s">
        <v>37</v>
      </c>
      <c r="I12" s="20"/>
      <c r="J12" s="2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180</v>
      </c>
      <c r="C13" s="21" t="s">
        <v>181</v>
      </c>
      <c r="D13" s="20"/>
      <c r="E13" s="20" t="s">
        <v>38</v>
      </c>
      <c r="F13" s="20">
        <v>10</v>
      </c>
      <c r="G13" s="20"/>
      <c r="H13" s="20" t="s">
        <v>37</v>
      </c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182</v>
      </c>
      <c r="C14" s="21" t="s">
        <v>183</v>
      </c>
      <c r="D14" s="20"/>
      <c r="E14" s="20" t="s">
        <v>38</v>
      </c>
      <c r="F14" s="20">
        <v>100</v>
      </c>
      <c r="G14" s="20"/>
      <c r="H14" s="20" t="s">
        <v>37</v>
      </c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0" t="s">
        <v>184</v>
      </c>
      <c r="C15" s="21" t="s">
        <v>185</v>
      </c>
      <c r="D15" s="20"/>
      <c r="E15" s="20" t="s">
        <v>38</v>
      </c>
      <c r="F15" s="20">
        <v>150</v>
      </c>
      <c r="G15" s="20"/>
      <c r="H15" s="20" t="s">
        <v>37</v>
      </c>
      <c r="I15" s="20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0" t="s">
        <v>186</v>
      </c>
      <c r="C16" s="21" t="s">
        <v>187</v>
      </c>
      <c r="D16" s="20"/>
      <c r="E16" s="20" t="s">
        <v>38</v>
      </c>
      <c r="F16" s="20">
        <v>100</v>
      </c>
      <c r="G16" s="20"/>
      <c r="H16" s="20" t="s">
        <v>37</v>
      </c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0" t="s">
        <v>188</v>
      </c>
      <c r="C17" s="21" t="s">
        <v>189</v>
      </c>
      <c r="D17" s="20"/>
      <c r="E17" s="20" t="s">
        <v>38</v>
      </c>
      <c r="F17" s="20">
        <v>100</v>
      </c>
      <c r="G17" s="20"/>
      <c r="H17" s="20" t="s">
        <v>37</v>
      </c>
      <c r="I17" s="20"/>
      <c r="J17" s="2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0" t="s">
        <v>190</v>
      </c>
      <c r="C18" s="21" t="s">
        <v>191</v>
      </c>
      <c r="D18" s="20"/>
      <c r="E18" s="20" t="s">
        <v>48</v>
      </c>
      <c r="F18" s="20"/>
      <c r="G18" s="20"/>
      <c r="H18" s="20"/>
      <c r="I18" s="20"/>
      <c r="J18" s="20" t="s">
        <v>167</v>
      </c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82</v>
      </c>
      <c r="C19" s="21" t="s">
        <v>83</v>
      </c>
      <c r="D19" s="20"/>
      <c r="E19" s="20" t="s">
        <v>48</v>
      </c>
      <c r="F19" s="20">
        <v>1</v>
      </c>
      <c r="G19" s="20"/>
      <c r="H19" s="20"/>
      <c r="I19" s="20">
        <v>0</v>
      </c>
      <c r="J19" s="30" t="s">
        <v>84</v>
      </c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46</v>
      </c>
      <c r="C20" s="21" t="s">
        <v>47</v>
      </c>
      <c r="D20" s="20"/>
      <c r="E20" s="20" t="s">
        <v>48</v>
      </c>
      <c r="F20" s="20"/>
      <c r="G20" s="20"/>
      <c r="H20" s="20"/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 t="s">
        <v>50</v>
      </c>
      <c r="C21" s="21" t="s">
        <v>51</v>
      </c>
      <c r="D21" s="20"/>
      <c r="E21" s="20" t="s">
        <v>52</v>
      </c>
      <c r="F21" s="20"/>
      <c r="G21" s="20"/>
      <c r="H21" s="20" t="s">
        <v>37</v>
      </c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 t="s">
        <v>54</v>
      </c>
      <c r="C22" s="21" t="s">
        <v>55</v>
      </c>
      <c r="D22" s="20"/>
      <c r="E22" s="20" t="s">
        <v>56</v>
      </c>
      <c r="F22" s="20"/>
      <c r="G22" s="20"/>
      <c r="H22" s="20" t="s">
        <v>37</v>
      </c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 t="s">
        <v>58</v>
      </c>
      <c r="C23" s="21" t="s">
        <v>59</v>
      </c>
      <c r="D23" s="20"/>
      <c r="E23" s="20" t="s">
        <v>52</v>
      </c>
      <c r="F23" s="20"/>
      <c r="G23" s="20"/>
      <c r="H23" s="20" t="s">
        <v>37</v>
      </c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 t="s">
        <v>61</v>
      </c>
      <c r="C24" s="21" t="s">
        <v>62</v>
      </c>
      <c r="D24" s="20"/>
      <c r="E24" s="20" t="s">
        <v>56</v>
      </c>
      <c r="F24" s="20"/>
      <c r="G24" s="20"/>
      <c r="H24" s="20" t="s">
        <v>37</v>
      </c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 t="s">
        <v>85</v>
      </c>
      <c r="C25" s="21" t="s">
        <v>85</v>
      </c>
      <c r="D25" s="20"/>
      <c r="E25" s="20" t="s">
        <v>48</v>
      </c>
      <c r="F25" s="20"/>
      <c r="G25" s="20"/>
      <c r="H25" s="20"/>
      <c r="I25" s="20">
        <v>0</v>
      </c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/>
      <c r="C26" s="20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/>
      <c r="C27" s="20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1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1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1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1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1"/>
      <c r="C36" s="21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1"/>
      <c r="C37" s="21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1"/>
      <c r="C38" s="21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1"/>
      <c r="C39" s="21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1"/>
      <c r="C40" s="21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20 H20 D10:D19 D21:D25 D26:D41 H10:H19 H21:H25 H26:H41">
      <formula1>"○"</formula1>
    </dataValidation>
    <dataValidation allowBlank="1" showInputMessage="1" showErrorMessage="1" sqref="B19 J19 B20:C20 B25:C25 B40:C40 C10:C19 C28:C35 M11:M12 B36:C39 B21:C24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E20 E10:E19 E21:E25 E26:E41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topLeftCell="A4" zoomScale="110" zoomScaleNormal="100" zoomScaleSheetLayoutView="110" workbookViewId="0">
      <selection activeCell="C11" sqref="C11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190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192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/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41" si="0">ROW()-10</f>
        <v>1</v>
      </c>
      <c r="B11" s="20" t="s">
        <v>190</v>
      </c>
      <c r="C11" s="21" t="s">
        <v>193</v>
      </c>
      <c r="D11" s="20"/>
      <c r="E11" s="20" t="s">
        <v>48</v>
      </c>
      <c r="F11" s="20"/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194</v>
      </c>
      <c r="C12" s="21" t="s">
        <v>195</v>
      </c>
      <c r="D12" s="20"/>
      <c r="E12" s="20" t="s">
        <v>38</v>
      </c>
      <c r="F12" s="20">
        <v>100</v>
      </c>
      <c r="G12" s="20"/>
      <c r="H12" s="20"/>
      <c r="I12" s="20"/>
      <c r="J12" s="2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196</v>
      </c>
      <c r="C13" s="21" t="s">
        <v>197</v>
      </c>
      <c r="D13" s="20"/>
      <c r="E13" s="20" t="s">
        <v>48</v>
      </c>
      <c r="F13" s="20">
        <v>3</v>
      </c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1" t="s">
        <v>82</v>
      </c>
      <c r="C14" s="21" t="s">
        <v>83</v>
      </c>
      <c r="D14" s="20"/>
      <c r="E14" s="20" t="s">
        <v>48</v>
      </c>
      <c r="F14" s="20">
        <v>1</v>
      </c>
      <c r="G14" s="20"/>
      <c r="H14" s="20"/>
      <c r="I14" s="20">
        <v>0</v>
      </c>
      <c r="J14" s="30" t="s">
        <v>84</v>
      </c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46</v>
      </c>
      <c r="C15" s="21" t="s">
        <v>47</v>
      </c>
      <c r="D15" s="20"/>
      <c r="E15" s="20" t="s">
        <v>48</v>
      </c>
      <c r="F15" s="20"/>
      <c r="G15" s="20"/>
      <c r="H15" s="20"/>
      <c r="I15" s="20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50</v>
      </c>
      <c r="C16" s="21" t="s">
        <v>51</v>
      </c>
      <c r="D16" s="20"/>
      <c r="E16" s="20" t="s">
        <v>52</v>
      </c>
      <c r="F16" s="20"/>
      <c r="G16" s="20"/>
      <c r="H16" s="20" t="s">
        <v>37</v>
      </c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 t="s">
        <v>54</v>
      </c>
      <c r="C17" s="21" t="s">
        <v>55</v>
      </c>
      <c r="D17" s="20"/>
      <c r="E17" s="20" t="s">
        <v>56</v>
      </c>
      <c r="F17" s="20"/>
      <c r="G17" s="20"/>
      <c r="H17" s="20" t="s">
        <v>37</v>
      </c>
      <c r="I17" s="20"/>
      <c r="J17" s="2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 t="s">
        <v>58</v>
      </c>
      <c r="C18" s="21" t="s">
        <v>59</v>
      </c>
      <c r="D18" s="20"/>
      <c r="E18" s="20" t="s">
        <v>52</v>
      </c>
      <c r="F18" s="20"/>
      <c r="G18" s="20"/>
      <c r="H18" s="20" t="s">
        <v>37</v>
      </c>
      <c r="I18" s="20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 t="s">
        <v>61</v>
      </c>
      <c r="C19" s="21" t="s">
        <v>62</v>
      </c>
      <c r="D19" s="20"/>
      <c r="E19" s="20" t="s">
        <v>56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 t="s">
        <v>85</v>
      </c>
      <c r="C20" s="21" t="s">
        <v>85</v>
      </c>
      <c r="D20" s="20"/>
      <c r="E20" s="20" t="s">
        <v>48</v>
      </c>
      <c r="F20" s="20"/>
      <c r="G20" s="20"/>
      <c r="H20" s="20"/>
      <c r="I20" s="20">
        <v>0</v>
      </c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/>
      <c r="C21" s="21"/>
      <c r="D21" s="20"/>
      <c r="E21" s="20"/>
      <c r="F21" s="20"/>
      <c r="G21" s="20"/>
      <c r="H21" s="20"/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/>
      <c r="C22" s="21"/>
      <c r="D22" s="20"/>
      <c r="E22" s="20"/>
      <c r="F22" s="20"/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/>
      <c r="C23" s="21"/>
      <c r="D23" s="20"/>
      <c r="E23" s="20"/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/>
      <c r="C24" s="20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0"/>
      <c r="C25" s="20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/>
      <c r="C26" s="20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/>
      <c r="C27" s="20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0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0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0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0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15 H15 D10:D14 D16:D20 D21:D41 H10:H14 H16:H20 H21:H41">
      <formula1>"○"</formula1>
    </dataValidation>
    <dataValidation allowBlank="1" showInputMessage="1" showErrorMessage="1" sqref="B14 J14 B15:C15 B20:C20 B23:C23 C10:C14 M11:M12 B21:C22 B16:C19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E15 E10:E14 E16:E20 E21:E41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showGridLines="0" tabSelected="1" view="pageBreakPreview" zoomScale="110" zoomScaleNormal="100" zoomScaleSheetLayoutView="110" workbookViewId="0">
      <selection activeCell="C34" sqref="C34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198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199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/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ref="A11:A60" si="0">ROW()-10</f>
        <v>1</v>
      </c>
      <c r="B11" s="20" t="s">
        <v>200</v>
      </c>
      <c r="C11" s="21" t="s">
        <v>201</v>
      </c>
      <c r="D11" s="20"/>
      <c r="E11" s="20" t="s">
        <v>145</v>
      </c>
      <c r="F11" s="20"/>
      <c r="G11" s="20"/>
      <c r="H11" s="20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180</v>
      </c>
      <c r="C12" s="37" t="s">
        <v>323</v>
      </c>
      <c r="D12" s="20"/>
      <c r="E12" s="20" t="s">
        <v>38</v>
      </c>
      <c r="F12" s="20">
        <v>20</v>
      </c>
      <c r="G12" s="20"/>
      <c r="H12" s="20"/>
      <c r="I12" s="20"/>
      <c r="J12" s="2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329</v>
      </c>
      <c r="C13" s="37" t="s">
        <v>324</v>
      </c>
      <c r="D13" s="20"/>
      <c r="E13" s="20" t="s">
        <v>48</v>
      </c>
      <c r="F13" s="20">
        <v>3</v>
      </c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202</v>
      </c>
      <c r="C14" s="21" t="s">
        <v>203</v>
      </c>
      <c r="D14" s="20"/>
      <c r="E14" s="20" t="s">
        <v>145</v>
      </c>
      <c r="F14" s="20"/>
      <c r="G14" s="20"/>
      <c r="H14" s="20"/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0" t="s">
        <v>204</v>
      </c>
      <c r="C15" s="21" t="s">
        <v>205</v>
      </c>
      <c r="D15" s="20"/>
      <c r="E15" s="20" t="s">
        <v>145</v>
      </c>
      <c r="F15" s="20"/>
      <c r="G15" s="20"/>
      <c r="H15" s="20"/>
      <c r="I15" s="20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0" t="s">
        <v>170</v>
      </c>
      <c r="C16" s="21" t="s">
        <v>171</v>
      </c>
      <c r="D16" s="20"/>
      <c r="E16" s="20" t="s">
        <v>52</v>
      </c>
      <c r="F16" s="20"/>
      <c r="G16" s="20"/>
      <c r="H16" s="20"/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0" t="s">
        <v>163</v>
      </c>
      <c r="C17" s="37" t="s">
        <v>325</v>
      </c>
      <c r="D17" s="20"/>
      <c r="E17" s="20" t="s">
        <v>38</v>
      </c>
      <c r="F17" s="20">
        <v>100</v>
      </c>
      <c r="G17" s="20"/>
      <c r="H17" s="20"/>
      <c r="I17" s="20"/>
      <c r="J17" s="2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0" t="s">
        <v>172</v>
      </c>
      <c r="C18" s="21" t="s">
        <v>173</v>
      </c>
      <c r="D18" s="20"/>
      <c r="E18" s="20" t="s">
        <v>38</v>
      </c>
      <c r="F18" s="20">
        <v>100</v>
      </c>
      <c r="G18" s="20"/>
      <c r="H18" s="20" t="s">
        <v>37</v>
      </c>
      <c r="I18" s="20"/>
      <c r="J18" s="33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0" t="s">
        <v>178</v>
      </c>
      <c r="C19" s="37" t="s">
        <v>327</v>
      </c>
      <c r="D19" s="20"/>
      <c r="E19" s="20" t="s">
        <v>38</v>
      </c>
      <c r="F19" s="20">
        <v>50</v>
      </c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0" t="s">
        <v>182</v>
      </c>
      <c r="C20" s="37" t="s">
        <v>326</v>
      </c>
      <c r="D20" s="20"/>
      <c r="E20" s="20" t="s">
        <v>38</v>
      </c>
      <c r="F20" s="20">
        <v>100</v>
      </c>
      <c r="G20" s="20"/>
      <c r="H20" s="20"/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0" t="s">
        <v>184</v>
      </c>
      <c r="C21" s="37" t="s">
        <v>328</v>
      </c>
      <c r="D21" s="20"/>
      <c r="E21" s="20" t="s">
        <v>38</v>
      </c>
      <c r="F21" s="20">
        <v>150</v>
      </c>
      <c r="G21" s="20"/>
      <c r="H21" s="20"/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0" t="s">
        <v>186</v>
      </c>
      <c r="C22" s="21" t="s">
        <v>187</v>
      </c>
      <c r="D22" s="20"/>
      <c r="E22" s="20" t="s">
        <v>38</v>
      </c>
      <c r="F22" s="20">
        <v>100</v>
      </c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0" t="s">
        <v>188</v>
      </c>
      <c r="C23" s="21" t="s">
        <v>189</v>
      </c>
      <c r="D23" s="20"/>
      <c r="E23" s="20" t="s">
        <v>38</v>
      </c>
      <c r="F23" s="20">
        <v>100</v>
      </c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 t="s">
        <v>190</v>
      </c>
      <c r="C24" s="21" t="s">
        <v>191</v>
      </c>
      <c r="D24" s="20"/>
      <c r="E24" s="20" t="s">
        <v>48</v>
      </c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0" t="s">
        <v>194</v>
      </c>
      <c r="C25" s="21" t="s">
        <v>195</v>
      </c>
      <c r="D25" s="20"/>
      <c r="E25" s="20" t="s">
        <v>38</v>
      </c>
      <c r="F25" s="20">
        <v>100</v>
      </c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0" t="s">
        <v>206</v>
      </c>
      <c r="C26" s="21" t="s">
        <v>207</v>
      </c>
      <c r="D26" s="20"/>
      <c r="E26" s="20" t="s">
        <v>145</v>
      </c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0" t="s">
        <v>208</v>
      </c>
      <c r="C27" s="21" t="s">
        <v>209</v>
      </c>
      <c r="D27" s="20"/>
      <c r="E27" s="20" t="s">
        <v>48</v>
      </c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0" t="s">
        <v>96</v>
      </c>
      <c r="C28" s="20" t="s">
        <v>97</v>
      </c>
      <c r="D28" s="20"/>
      <c r="E28" s="20" t="s">
        <v>98</v>
      </c>
      <c r="F28" s="20">
        <v>5</v>
      </c>
      <c r="G28" s="20">
        <v>3</v>
      </c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 t="s">
        <v>210</v>
      </c>
      <c r="C29" s="20" t="s">
        <v>211</v>
      </c>
      <c r="D29" s="20"/>
      <c r="E29" s="20" t="s">
        <v>48</v>
      </c>
      <c r="F29" s="20"/>
      <c r="G29" s="20"/>
      <c r="H29" s="20"/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0" t="s">
        <v>212</v>
      </c>
      <c r="C30" s="20" t="s">
        <v>213</v>
      </c>
      <c r="D30" s="20"/>
      <c r="E30" s="20" t="s">
        <v>48</v>
      </c>
      <c r="F30" s="20"/>
      <c r="G30" s="20"/>
      <c r="H30" s="20"/>
      <c r="I30" s="20"/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 t="s">
        <v>214</v>
      </c>
      <c r="C31" s="20" t="s">
        <v>215</v>
      </c>
      <c r="D31" s="20"/>
      <c r="E31" s="20" t="s">
        <v>48</v>
      </c>
      <c r="F31" s="20"/>
      <c r="G31" s="20"/>
      <c r="H31" s="20"/>
      <c r="I31" s="20"/>
      <c r="J31" s="30" t="s">
        <v>84</v>
      </c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1" t="s">
        <v>216</v>
      </c>
      <c r="C32" s="21" t="s">
        <v>217</v>
      </c>
      <c r="D32" s="20"/>
      <c r="E32" s="20" t="s">
        <v>52</v>
      </c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1" t="s">
        <v>82</v>
      </c>
      <c r="C33" s="21" t="s">
        <v>83</v>
      </c>
      <c r="D33" s="20"/>
      <c r="E33" s="20" t="s">
        <v>48</v>
      </c>
      <c r="F33" s="20">
        <v>1</v>
      </c>
      <c r="G33" s="20"/>
      <c r="H33" s="20"/>
      <c r="I33" s="20">
        <v>0</v>
      </c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1" t="s">
        <v>218</v>
      </c>
      <c r="C34" s="37" t="s">
        <v>330</v>
      </c>
      <c r="D34" s="20"/>
      <c r="E34" s="20" t="s">
        <v>52</v>
      </c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 t="s">
        <v>219</v>
      </c>
      <c r="C35" s="21" t="s">
        <v>220</v>
      </c>
      <c r="D35" s="20"/>
      <c r="E35" s="20" t="s">
        <v>52</v>
      </c>
      <c r="F35" s="20"/>
      <c r="G35" s="20"/>
      <c r="H35" s="20" t="s">
        <v>37</v>
      </c>
      <c r="I35" s="20"/>
      <c r="J35" s="20" t="s">
        <v>221</v>
      </c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 t="s">
        <v>222</v>
      </c>
      <c r="C36" s="21" t="s">
        <v>223</v>
      </c>
      <c r="D36" s="20"/>
      <c r="E36" s="20" t="s">
        <v>48</v>
      </c>
      <c r="F36" s="20">
        <v>1</v>
      </c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 t="s">
        <v>224</v>
      </c>
      <c r="C37" s="20" t="s">
        <v>225</v>
      </c>
      <c r="D37" s="20"/>
      <c r="E37" s="20" t="s">
        <v>52</v>
      </c>
      <c r="F37" s="20"/>
      <c r="G37" s="20"/>
      <c r="H37" s="20" t="s">
        <v>37</v>
      </c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 t="s">
        <v>226</v>
      </c>
      <c r="C38" s="21" t="s">
        <v>227</v>
      </c>
      <c r="D38" s="20"/>
      <c r="E38" s="20" t="s">
        <v>228</v>
      </c>
      <c r="F38" s="20"/>
      <c r="G38" s="20"/>
      <c r="H38" s="20" t="s">
        <v>37</v>
      </c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1" t="s">
        <v>229</v>
      </c>
      <c r="C39" s="21" t="s">
        <v>230</v>
      </c>
      <c r="D39" s="20"/>
      <c r="E39" s="20" t="s">
        <v>52</v>
      </c>
      <c r="F39" s="20"/>
      <c r="G39" s="20"/>
      <c r="H39" s="20" t="s">
        <v>37</v>
      </c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1" t="s">
        <v>231</v>
      </c>
      <c r="C40" s="21" t="s">
        <v>232</v>
      </c>
      <c r="D40" s="20"/>
      <c r="E40" s="20" t="s">
        <v>228</v>
      </c>
      <c r="F40" s="20"/>
      <c r="G40" s="20"/>
      <c r="H40" s="20" t="s">
        <v>37</v>
      </c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1" t="s">
        <v>233</v>
      </c>
      <c r="C41" s="21" t="s">
        <v>234</v>
      </c>
      <c r="D41" s="20"/>
      <c r="E41" s="20" t="s">
        <v>52</v>
      </c>
      <c r="F41" s="20"/>
      <c r="G41" s="20"/>
      <c r="H41" s="20" t="s">
        <v>37</v>
      </c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  <row r="42" spans="1:28" s="7" customFormat="1" ht="15.75" customHeight="1">
      <c r="A42" s="19">
        <f t="shared" si="0"/>
        <v>32</v>
      </c>
      <c r="B42" s="21" t="s">
        <v>235</v>
      </c>
      <c r="C42" s="21" t="s">
        <v>236</v>
      </c>
      <c r="D42" s="20"/>
      <c r="E42" s="20" t="s">
        <v>228</v>
      </c>
      <c r="F42" s="20"/>
      <c r="G42" s="20"/>
      <c r="H42" s="20" t="s">
        <v>37</v>
      </c>
      <c r="I42" s="20"/>
      <c r="J42" s="20"/>
      <c r="K42" s="26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B42" s="31"/>
    </row>
    <row r="43" spans="1:28" s="7" customFormat="1" ht="15.75" customHeight="1">
      <c r="A43" s="19">
        <f t="shared" si="0"/>
        <v>33</v>
      </c>
      <c r="B43" s="21" t="s">
        <v>50</v>
      </c>
      <c r="C43" s="21" t="s">
        <v>51</v>
      </c>
      <c r="D43" s="20"/>
      <c r="E43" s="20" t="s">
        <v>52</v>
      </c>
      <c r="F43" s="20"/>
      <c r="G43" s="20"/>
      <c r="H43" s="20" t="s">
        <v>37</v>
      </c>
      <c r="I43" s="20"/>
      <c r="J43" s="20"/>
      <c r="K43" s="26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B43" s="31"/>
    </row>
    <row r="44" spans="1:28" s="7" customFormat="1" ht="15.75" customHeight="1">
      <c r="A44" s="19">
        <f t="shared" si="0"/>
        <v>34</v>
      </c>
      <c r="B44" s="21" t="s">
        <v>54</v>
      </c>
      <c r="C44" s="21" t="s">
        <v>55</v>
      </c>
      <c r="D44" s="20"/>
      <c r="E44" s="20" t="s">
        <v>56</v>
      </c>
      <c r="F44" s="20"/>
      <c r="G44" s="20"/>
      <c r="H44" s="20" t="s">
        <v>37</v>
      </c>
      <c r="I44" s="20"/>
      <c r="J44" s="20"/>
      <c r="K44" s="26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B44" s="31"/>
    </row>
    <row r="45" spans="1:28" s="7" customFormat="1" ht="15.75" customHeight="1">
      <c r="A45" s="19">
        <f t="shared" si="0"/>
        <v>35</v>
      </c>
      <c r="B45" s="21" t="s">
        <v>58</v>
      </c>
      <c r="C45" s="21" t="s">
        <v>59</v>
      </c>
      <c r="D45" s="20"/>
      <c r="E45" s="20" t="s">
        <v>52</v>
      </c>
      <c r="F45" s="20"/>
      <c r="G45" s="20"/>
      <c r="H45" s="20" t="s">
        <v>37</v>
      </c>
      <c r="I45" s="20"/>
      <c r="J45" s="20"/>
      <c r="K45" s="26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B45" s="31"/>
    </row>
    <row r="46" spans="1:28" s="7" customFormat="1" ht="15.75" customHeight="1">
      <c r="A46" s="19">
        <f t="shared" si="0"/>
        <v>36</v>
      </c>
      <c r="B46" s="21" t="s">
        <v>61</v>
      </c>
      <c r="C46" s="21" t="s">
        <v>62</v>
      </c>
      <c r="D46" s="20"/>
      <c r="E46" s="20" t="s">
        <v>56</v>
      </c>
      <c r="F46" s="20"/>
      <c r="G46" s="20"/>
      <c r="H46" s="20" t="s">
        <v>37</v>
      </c>
      <c r="I46" s="20"/>
      <c r="J46" s="20"/>
      <c r="K46" s="26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B46" s="31"/>
    </row>
    <row r="47" spans="1:28" s="7" customFormat="1" ht="15.75" customHeight="1">
      <c r="A47" s="19">
        <f t="shared" si="0"/>
        <v>37</v>
      </c>
      <c r="B47" s="21" t="s">
        <v>85</v>
      </c>
      <c r="C47" s="21" t="s">
        <v>85</v>
      </c>
      <c r="D47" s="20"/>
      <c r="E47" s="20" t="s">
        <v>48</v>
      </c>
      <c r="F47" s="20"/>
      <c r="G47" s="20"/>
      <c r="H47" s="20"/>
      <c r="I47" s="20">
        <v>0</v>
      </c>
      <c r="J47" s="20"/>
      <c r="K47" s="26"/>
      <c r="L47" s="25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B47" s="31"/>
    </row>
    <row r="48" spans="1:28" s="7" customFormat="1" ht="15.75" customHeight="1">
      <c r="A48" s="19">
        <f t="shared" si="0"/>
        <v>38</v>
      </c>
      <c r="B48" s="21"/>
      <c r="C48" s="21"/>
      <c r="D48" s="20"/>
      <c r="E48" s="20"/>
      <c r="F48" s="20"/>
      <c r="G48" s="20"/>
      <c r="H48" s="20"/>
      <c r="I48" s="20"/>
      <c r="J48" s="20"/>
      <c r="K48" s="26"/>
      <c r="L48" s="25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31"/>
    </row>
    <row r="49" spans="1:28" s="7" customFormat="1" ht="15.75" customHeight="1">
      <c r="A49" s="19">
        <f t="shared" si="0"/>
        <v>39</v>
      </c>
      <c r="B49" s="21"/>
      <c r="C49" s="21"/>
      <c r="D49" s="20"/>
      <c r="E49" s="20"/>
      <c r="F49" s="20"/>
      <c r="G49" s="20"/>
      <c r="H49" s="20"/>
      <c r="I49" s="20"/>
      <c r="J49" s="20"/>
      <c r="K49" s="26"/>
      <c r="L49" s="25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B49" s="31"/>
    </row>
    <row r="50" spans="1:28" s="7" customFormat="1" ht="15.75" customHeight="1">
      <c r="A50" s="19">
        <f t="shared" si="0"/>
        <v>40</v>
      </c>
      <c r="B50" s="21"/>
      <c r="C50" s="21"/>
      <c r="D50" s="20"/>
      <c r="E50" s="20"/>
      <c r="F50" s="20"/>
      <c r="G50" s="20"/>
      <c r="H50" s="20"/>
      <c r="I50" s="20"/>
      <c r="J50" s="20"/>
      <c r="K50" s="26"/>
      <c r="L50" s="25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B50" s="31"/>
    </row>
    <row r="51" spans="1:28" s="7" customFormat="1" ht="15.75" customHeight="1">
      <c r="A51" s="19">
        <f t="shared" si="0"/>
        <v>41</v>
      </c>
      <c r="B51" s="21"/>
      <c r="C51" s="21"/>
      <c r="D51" s="20"/>
      <c r="E51" s="20"/>
      <c r="F51" s="20"/>
      <c r="G51" s="20"/>
      <c r="H51" s="20"/>
      <c r="I51" s="20"/>
      <c r="J51" s="20"/>
      <c r="K51" s="26"/>
      <c r="L51" s="25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B51" s="31"/>
    </row>
    <row r="52" spans="1:28" s="7" customFormat="1" ht="15.75" customHeight="1">
      <c r="A52" s="19">
        <f t="shared" si="0"/>
        <v>42</v>
      </c>
      <c r="B52" s="21"/>
      <c r="C52" s="21"/>
      <c r="D52" s="20"/>
      <c r="E52" s="20"/>
      <c r="F52" s="20"/>
      <c r="G52" s="20"/>
      <c r="H52" s="20"/>
      <c r="I52" s="20"/>
      <c r="J52" s="20"/>
      <c r="K52" s="26"/>
      <c r="L52" s="25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B52" s="31"/>
    </row>
    <row r="53" spans="1:28" s="7" customFormat="1" ht="15.75" customHeight="1">
      <c r="A53" s="19">
        <f t="shared" si="0"/>
        <v>43</v>
      </c>
      <c r="B53" s="21"/>
      <c r="C53" s="21"/>
      <c r="D53" s="20"/>
      <c r="E53" s="20"/>
      <c r="F53" s="20"/>
      <c r="G53" s="20"/>
      <c r="H53" s="20"/>
      <c r="I53" s="20"/>
      <c r="J53" s="20"/>
      <c r="K53" s="26"/>
      <c r="L53" s="25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B53" s="31"/>
    </row>
    <row r="54" spans="1:28" s="7" customFormat="1" ht="15.75" customHeight="1">
      <c r="A54" s="19">
        <f t="shared" si="0"/>
        <v>44</v>
      </c>
      <c r="B54" s="21"/>
      <c r="C54" s="21"/>
      <c r="D54" s="20"/>
      <c r="E54" s="20"/>
      <c r="F54" s="20"/>
      <c r="G54" s="20"/>
      <c r="H54" s="20"/>
      <c r="I54" s="20"/>
      <c r="J54" s="20"/>
      <c r="K54" s="26"/>
      <c r="L54" s="25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B54" s="31"/>
    </row>
    <row r="55" spans="1:28" s="7" customFormat="1" ht="15.75" customHeight="1">
      <c r="A55" s="19">
        <f t="shared" si="0"/>
        <v>45</v>
      </c>
      <c r="B55" s="21"/>
      <c r="C55" s="21"/>
      <c r="D55" s="20"/>
      <c r="E55" s="20"/>
      <c r="F55" s="20"/>
      <c r="G55" s="20"/>
      <c r="H55" s="20"/>
      <c r="I55" s="20"/>
      <c r="J55" s="20"/>
      <c r="K55" s="26"/>
      <c r="L55" s="25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B55" s="31"/>
    </row>
    <row r="56" spans="1:28" s="7" customFormat="1" ht="15.75" customHeight="1">
      <c r="A56" s="19">
        <f t="shared" si="0"/>
        <v>46</v>
      </c>
      <c r="B56" s="20"/>
      <c r="C56" s="20"/>
      <c r="D56" s="20"/>
      <c r="E56" s="20"/>
      <c r="F56" s="20"/>
      <c r="G56" s="20"/>
      <c r="H56" s="20"/>
      <c r="I56" s="20"/>
      <c r="J56" s="20"/>
      <c r="K56" s="26"/>
      <c r="L56" s="25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B56" s="31"/>
    </row>
    <row r="57" spans="1:28" s="7" customFormat="1" ht="15.75" customHeight="1">
      <c r="A57" s="19">
        <f t="shared" si="0"/>
        <v>47</v>
      </c>
      <c r="B57" s="20"/>
      <c r="C57" s="20"/>
      <c r="D57" s="20"/>
      <c r="E57" s="20"/>
      <c r="F57" s="20"/>
      <c r="G57" s="20"/>
      <c r="H57" s="20"/>
      <c r="I57" s="20"/>
      <c r="J57" s="20"/>
      <c r="K57" s="26"/>
      <c r="L57" s="25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B57" s="31"/>
    </row>
    <row r="58" spans="1:28" s="7" customFormat="1" ht="15.75" customHeight="1">
      <c r="A58" s="19">
        <f t="shared" si="0"/>
        <v>48</v>
      </c>
      <c r="B58" s="20"/>
      <c r="C58" s="20"/>
      <c r="D58" s="20"/>
      <c r="E58" s="20"/>
      <c r="F58" s="20"/>
      <c r="G58" s="20"/>
      <c r="H58" s="20"/>
      <c r="I58" s="20"/>
      <c r="J58" s="20"/>
      <c r="K58" s="26"/>
      <c r="L58" s="25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B58" s="31"/>
    </row>
    <row r="59" spans="1:28" s="7" customFormat="1" ht="15.75" customHeight="1">
      <c r="A59" s="19">
        <f t="shared" si="0"/>
        <v>49</v>
      </c>
      <c r="B59" s="20"/>
      <c r="C59" s="20"/>
      <c r="D59" s="20"/>
      <c r="E59" s="20"/>
      <c r="F59" s="20"/>
      <c r="G59" s="20"/>
      <c r="H59" s="20"/>
      <c r="I59" s="20"/>
      <c r="J59" s="20"/>
      <c r="K59" s="26"/>
      <c r="L59" s="25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B59" s="31"/>
    </row>
    <row r="60" spans="1:28" s="7" customFormat="1" ht="15.75" customHeight="1">
      <c r="A60" s="19">
        <f t="shared" si="0"/>
        <v>50</v>
      </c>
      <c r="B60" s="20"/>
      <c r="C60" s="20"/>
      <c r="D60" s="20"/>
      <c r="E60" s="20"/>
      <c r="F60" s="20"/>
      <c r="G60" s="20"/>
      <c r="H60" s="20"/>
      <c r="I60" s="20"/>
      <c r="J60" s="20"/>
      <c r="K60" s="26"/>
      <c r="L60" s="25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B60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H18 H19 D25 D26 H26 D33 H33 D34 H34 D35 H35 D36 H36 D37 D38 D10:D24 D27:D28 D29:D32 D39:D42 D43:D47 D48:D50 D51:D55 D56:D57 D58:D60 H10:H17 H20:H25 H27:H28 H29:H32 H37:H42 H43:H47 H48:H50 H51:H55 H56:H57 H58:H60">
      <formula1>"○"</formula1>
    </dataValidation>
    <dataValidation allowBlank="1" showInputMessage="1" showErrorMessage="1" sqref="C25 C26 C27 J31 B32:C32 B33:C33 B34:C34 C35 C36 C38 B47:C47 B50:C50 B55:C55 C10:C24 M11:M12 B51:C54 B48:C49 B39:C42 B43:C46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59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E25 E26 E29 E32 E33 E34 E35 E36 E37 E38 E39 E40 E41 E42 E10:E24 E27:E28 E30:E31 E43:E47 E48:E50 E51:E55 E56:E57 E58:E60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showGridLines="0" view="pageBreakPreview" topLeftCell="A13" zoomScale="110" zoomScaleNormal="100" zoomScaleSheetLayoutView="110" workbookViewId="0">
      <selection activeCell="D18" sqref="D18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237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238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>ROW()-10</f>
        <v>0</v>
      </c>
      <c r="B10" s="20"/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 t="s">
        <v>37</v>
      </c>
      <c r="N10" s="20"/>
      <c r="O10" s="20"/>
      <c r="P10" s="20"/>
    </row>
    <row r="11" spans="1:24" s="7" customFormat="1" ht="15.75" customHeight="1">
      <c r="A11" s="19">
        <f t="shared" ref="A11:A46" si="0">ROW()-10</f>
        <v>1</v>
      </c>
      <c r="B11" s="20" t="s">
        <v>239</v>
      </c>
      <c r="C11" s="21" t="s">
        <v>240</v>
      </c>
      <c r="D11" s="20"/>
      <c r="E11" s="20" t="s">
        <v>52</v>
      </c>
      <c r="F11" s="20"/>
      <c r="G11" s="20"/>
      <c r="H11" s="20"/>
      <c r="I11" s="20"/>
      <c r="J11" s="20"/>
      <c r="K11" s="26"/>
      <c r="L11" s="27" t="s">
        <v>42</v>
      </c>
      <c r="M11" s="21" t="s">
        <v>240</v>
      </c>
      <c r="N11" s="28"/>
      <c r="O11" s="28"/>
      <c r="P11" s="28"/>
    </row>
    <row r="12" spans="1:24" s="7" customFormat="1" ht="15.75" customHeight="1">
      <c r="A12" s="19">
        <f t="shared" si="0"/>
        <v>2</v>
      </c>
      <c r="B12" s="20" t="s">
        <v>139</v>
      </c>
      <c r="C12" s="21" t="s">
        <v>140</v>
      </c>
      <c r="D12" s="20"/>
      <c r="E12" s="20" t="s">
        <v>52</v>
      </c>
      <c r="F12" s="20"/>
      <c r="G12" s="20"/>
      <c r="H12" s="20"/>
      <c r="I12" s="20"/>
      <c r="J12" s="20"/>
      <c r="K12" s="26"/>
      <c r="L12" s="27" t="s">
        <v>45</v>
      </c>
      <c r="M12" s="21" t="s">
        <v>140</v>
      </c>
      <c r="N12" s="28"/>
      <c r="O12" s="28"/>
      <c r="P12" s="28"/>
    </row>
    <row r="13" spans="1:24" s="7" customFormat="1" ht="15.75" customHeight="1">
      <c r="A13" s="19">
        <f t="shared" si="0"/>
        <v>3</v>
      </c>
      <c r="B13" s="20" t="s">
        <v>241</v>
      </c>
      <c r="C13" s="21" t="s">
        <v>242</v>
      </c>
      <c r="D13" s="20"/>
      <c r="E13" s="20" t="s">
        <v>38</v>
      </c>
      <c r="F13" s="20">
        <v>50</v>
      </c>
      <c r="G13" s="20"/>
      <c r="H13" s="20"/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0" t="s">
        <v>148</v>
      </c>
      <c r="C14" s="21" t="s">
        <v>149</v>
      </c>
      <c r="D14" s="20"/>
      <c r="E14" s="20" t="s">
        <v>48</v>
      </c>
      <c r="F14" s="20"/>
      <c r="G14" s="20"/>
      <c r="H14" s="20"/>
      <c r="I14" s="20">
        <v>0</v>
      </c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0" t="s">
        <v>243</v>
      </c>
      <c r="C15" s="21" t="s">
        <v>244</v>
      </c>
      <c r="D15" s="20"/>
      <c r="E15" s="20" t="s">
        <v>48</v>
      </c>
      <c r="F15" s="20"/>
      <c r="G15" s="20"/>
      <c r="H15" s="20"/>
      <c r="I15" s="20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0" t="s">
        <v>159</v>
      </c>
      <c r="C16" s="21" t="s">
        <v>160</v>
      </c>
      <c r="D16" s="20"/>
      <c r="E16" s="20" t="s">
        <v>48</v>
      </c>
      <c r="F16" s="20"/>
      <c r="G16" s="20"/>
      <c r="H16" s="20"/>
      <c r="I16" s="20"/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0" t="s">
        <v>155</v>
      </c>
      <c r="C17" s="21" t="s">
        <v>245</v>
      </c>
      <c r="D17" s="20"/>
      <c r="E17" s="20" t="s">
        <v>38</v>
      </c>
      <c r="F17" s="20">
        <v>10</v>
      </c>
      <c r="G17" s="20"/>
      <c r="H17" s="20" t="s">
        <v>37</v>
      </c>
      <c r="I17" s="20"/>
      <c r="J17" s="33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0" t="s">
        <v>246</v>
      </c>
      <c r="C18" s="21" t="s">
        <v>247</v>
      </c>
      <c r="D18" s="20"/>
      <c r="E18" s="20" t="s">
        <v>48</v>
      </c>
      <c r="F18" s="20"/>
      <c r="G18" s="20"/>
      <c r="H18" s="20" t="s">
        <v>37</v>
      </c>
      <c r="I18" s="20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0" t="s">
        <v>248</v>
      </c>
      <c r="C19" s="21" t="s">
        <v>249</v>
      </c>
      <c r="D19" s="20"/>
      <c r="E19" s="20" t="s">
        <v>48</v>
      </c>
      <c r="F19" s="20"/>
      <c r="G19" s="20"/>
      <c r="H19" s="20" t="s">
        <v>37</v>
      </c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0" t="s">
        <v>150</v>
      </c>
      <c r="C20" s="21" t="s">
        <v>250</v>
      </c>
      <c r="D20" s="20"/>
      <c r="E20" s="20" t="s">
        <v>38</v>
      </c>
      <c r="F20" s="20">
        <v>10</v>
      </c>
      <c r="G20" s="20"/>
      <c r="H20" s="20" t="s">
        <v>37</v>
      </c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0" t="s">
        <v>251</v>
      </c>
      <c r="C21" s="21" t="s">
        <v>252</v>
      </c>
      <c r="D21" s="20"/>
      <c r="E21" s="20" t="s">
        <v>48</v>
      </c>
      <c r="F21" s="20"/>
      <c r="G21" s="20"/>
      <c r="H21" s="20" t="s">
        <v>37</v>
      </c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0" t="s">
        <v>253</v>
      </c>
      <c r="C22" s="21" t="s">
        <v>254</v>
      </c>
      <c r="D22" s="20"/>
      <c r="E22" s="20" t="s">
        <v>48</v>
      </c>
      <c r="F22" s="20"/>
      <c r="G22" s="20"/>
      <c r="H22" s="20" t="s">
        <v>37</v>
      </c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0" t="s">
        <v>214</v>
      </c>
      <c r="C23" s="21" t="s">
        <v>209</v>
      </c>
      <c r="D23" s="20"/>
      <c r="E23" s="20" t="s">
        <v>48</v>
      </c>
      <c r="F23" s="20"/>
      <c r="G23" s="20"/>
      <c r="H23" s="20"/>
      <c r="I23" s="20"/>
      <c r="J23" s="2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0" t="s">
        <v>212</v>
      </c>
      <c r="C24" s="20" t="s">
        <v>213</v>
      </c>
      <c r="D24" s="20"/>
      <c r="E24" s="20" t="s">
        <v>48</v>
      </c>
      <c r="F24" s="20"/>
      <c r="G24" s="20"/>
      <c r="H24" s="20"/>
      <c r="I24" s="20"/>
      <c r="J24" s="3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 t="s">
        <v>82</v>
      </c>
      <c r="C25" s="21" t="s">
        <v>83</v>
      </c>
      <c r="D25" s="20"/>
      <c r="E25" s="20" t="s">
        <v>48</v>
      </c>
      <c r="F25" s="20">
        <v>1</v>
      </c>
      <c r="G25" s="20"/>
      <c r="H25" s="20"/>
      <c r="I25" s="20">
        <v>0</v>
      </c>
      <c r="J25" s="30" t="s">
        <v>84</v>
      </c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 t="s">
        <v>50</v>
      </c>
      <c r="C26" s="21" t="s">
        <v>51</v>
      </c>
      <c r="D26" s="20"/>
      <c r="E26" s="20" t="s">
        <v>52</v>
      </c>
      <c r="F26" s="20"/>
      <c r="G26" s="20"/>
      <c r="H26" s="20" t="s">
        <v>37</v>
      </c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 t="s">
        <v>54</v>
      </c>
      <c r="C27" s="21" t="s">
        <v>55</v>
      </c>
      <c r="D27" s="20"/>
      <c r="E27" s="20" t="s">
        <v>56</v>
      </c>
      <c r="F27" s="20"/>
      <c r="G27" s="20"/>
      <c r="H27" s="20" t="s">
        <v>37</v>
      </c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 t="s">
        <v>58</v>
      </c>
      <c r="C28" s="21" t="s">
        <v>59</v>
      </c>
      <c r="D28" s="20"/>
      <c r="E28" s="20" t="s">
        <v>52</v>
      </c>
      <c r="F28" s="20"/>
      <c r="G28" s="20"/>
      <c r="H28" s="20" t="s">
        <v>37</v>
      </c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1" t="s">
        <v>61</v>
      </c>
      <c r="C29" s="21" t="s">
        <v>62</v>
      </c>
      <c r="D29" s="20"/>
      <c r="E29" s="20" t="s">
        <v>56</v>
      </c>
      <c r="F29" s="20"/>
      <c r="G29" s="20"/>
      <c r="H29" s="20" t="s">
        <v>37</v>
      </c>
      <c r="I29" s="20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 t="s">
        <v>85</v>
      </c>
      <c r="C30" s="21" t="s">
        <v>85</v>
      </c>
      <c r="D30" s="20"/>
      <c r="E30" s="20" t="s">
        <v>48</v>
      </c>
      <c r="F30" s="20"/>
      <c r="G30" s="20"/>
      <c r="H30" s="20"/>
      <c r="I30" s="20">
        <v>0</v>
      </c>
      <c r="J30" s="2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0"/>
      <c r="C31" s="21"/>
      <c r="D31" s="20"/>
      <c r="E31" s="20"/>
      <c r="F31" s="20"/>
      <c r="G31" s="20"/>
      <c r="H31" s="20"/>
      <c r="I31" s="20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0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0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0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0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1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3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1"/>
      <c r="C38" s="21"/>
      <c r="D38" s="20"/>
      <c r="E38" s="20"/>
      <c r="F38" s="20"/>
      <c r="G38" s="20"/>
      <c r="H38" s="20"/>
      <c r="I38" s="20"/>
      <c r="J38" s="3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1"/>
      <c r="C39" s="21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1"/>
      <c r="C40" s="21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1"/>
      <c r="C41" s="21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  <row r="42" spans="1:28" s="7" customFormat="1" ht="15.75" customHeight="1">
      <c r="A42" s="19">
        <f t="shared" si="0"/>
        <v>32</v>
      </c>
      <c r="B42" s="21"/>
      <c r="C42" s="21"/>
      <c r="D42" s="20"/>
      <c r="E42" s="20"/>
      <c r="F42" s="20"/>
      <c r="G42" s="20"/>
      <c r="H42" s="20"/>
      <c r="I42" s="20"/>
      <c r="J42" s="20"/>
      <c r="K42" s="26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B42" s="31"/>
    </row>
    <row r="43" spans="1:28" s="7" customFormat="1" ht="15.75" customHeight="1">
      <c r="A43" s="19">
        <f t="shared" si="0"/>
        <v>33</v>
      </c>
      <c r="B43" s="21"/>
      <c r="C43" s="21"/>
      <c r="D43" s="20"/>
      <c r="E43" s="20"/>
      <c r="F43" s="20"/>
      <c r="G43" s="20"/>
      <c r="H43" s="20"/>
      <c r="I43" s="20"/>
      <c r="J43" s="20"/>
      <c r="K43" s="26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B43" s="31"/>
    </row>
    <row r="44" spans="1:28" s="7" customFormat="1" ht="15.75" customHeight="1">
      <c r="A44" s="19">
        <f t="shared" si="0"/>
        <v>34</v>
      </c>
      <c r="B44" s="20"/>
      <c r="C44" s="20"/>
      <c r="D44" s="20"/>
      <c r="E44" s="20"/>
      <c r="F44" s="20"/>
      <c r="G44" s="20"/>
      <c r="H44" s="20"/>
      <c r="I44" s="20"/>
      <c r="J44" s="20"/>
      <c r="K44" s="26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B44" s="31"/>
    </row>
    <row r="45" spans="1:28" s="7" customFormat="1" ht="15.75" customHeight="1">
      <c r="A45" s="19">
        <f t="shared" si="0"/>
        <v>35</v>
      </c>
      <c r="B45" s="20"/>
      <c r="C45" s="20"/>
      <c r="D45" s="20"/>
      <c r="E45" s="20"/>
      <c r="F45" s="20"/>
      <c r="G45" s="20"/>
      <c r="H45" s="20"/>
      <c r="I45" s="20"/>
      <c r="J45" s="20"/>
      <c r="K45" s="26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B45" s="31"/>
    </row>
    <row r="46" spans="1:28" s="7" customFormat="1" ht="15.75" customHeight="1">
      <c r="A46" s="19">
        <f t="shared" si="0"/>
        <v>36</v>
      </c>
      <c r="B46" s="20"/>
      <c r="C46" s="20"/>
      <c r="D46" s="20"/>
      <c r="E46" s="20"/>
      <c r="F46" s="20"/>
      <c r="G46" s="20"/>
      <c r="H46" s="20"/>
      <c r="I46" s="20"/>
      <c r="J46" s="20"/>
      <c r="K46" s="26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B46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type="list" allowBlank="1" showInputMessage="1" showErrorMessage="1" sqref="M10:P10 D23 D24 D37 D10:D16 D17:D18 D19:D20 D21:D22 D25:D30 D31:D32 D33:D36 D38:D43 D44:D46 H10:H16 H17:H18 H19:H22 H23:H24 H25:H30 H31:H32 H33:H37 H38:H43 H44:H46">
      <formula1>"○"</formula1>
    </dataValidation>
    <dataValidation allowBlank="1" showInputMessage="1" showErrorMessage="1" sqref="C19 C20 C23 J24 J25 B30:C30 J37 J38 B43:C43 C10:C16 C17:C18 C21:C22 C31:C32 C33:C36 M11:M12 B38:C42 B25:C29"/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E19 E20 E23 E24 E37 E10:E16 E17:E18 E21:E22 E25:E30 E31:E32 E33:E36 E38:E43 E44:E46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view="pageBreakPreview" zoomScale="110" zoomScaleNormal="100" zoomScaleSheetLayoutView="110" workbookViewId="0">
      <selection activeCell="B10" sqref="B10:G10"/>
    </sheetView>
  </sheetViews>
  <sheetFormatPr defaultColWidth="2.5" defaultRowHeight="12"/>
  <cols>
    <col min="1" max="1" width="4.09765625" style="8" customWidth="1"/>
    <col min="2" max="3" width="14.69921875" style="8" customWidth="1"/>
    <col min="4" max="4" width="8" style="8" customWidth="1"/>
    <col min="5" max="5" width="14.69921875" style="8" customWidth="1"/>
    <col min="6" max="7" width="6.8984375" style="8" customWidth="1"/>
    <col min="8" max="8" width="9.5" style="8" customWidth="1"/>
    <col min="9" max="9" width="6.09765625" style="8" customWidth="1"/>
    <col min="10" max="10" width="34.69921875" style="8" customWidth="1"/>
    <col min="11" max="11" width="3.8984375" style="8" customWidth="1"/>
    <col min="12" max="12" width="5.8984375" style="8" customWidth="1"/>
    <col min="13" max="16" width="6.8984375" style="8" customWidth="1"/>
    <col min="17" max="27" width="2.5" style="8"/>
    <col min="28" max="28" width="5.5" style="9" customWidth="1"/>
    <col min="29" max="35" width="4.3984375" style="8" customWidth="1"/>
    <col min="36" max="16384" width="2.5" style="8"/>
  </cols>
  <sheetData>
    <row r="1" spans="1:24" ht="12" customHeight="1">
      <c r="A1" s="108" t="s">
        <v>18</v>
      </c>
      <c r="B1" s="109"/>
      <c r="C1" s="109"/>
      <c r="D1" s="10" t="str">
        <f>改訂履歴!N1</f>
        <v>システム：</v>
      </c>
      <c r="E1" s="11"/>
      <c r="F1" s="12"/>
      <c r="G1" s="12"/>
      <c r="H1" s="12"/>
      <c r="I1" s="12"/>
      <c r="J1" s="23"/>
      <c r="K1" s="14"/>
      <c r="L1" s="14"/>
      <c r="M1" s="14"/>
      <c r="N1" s="14"/>
      <c r="O1" s="14"/>
      <c r="P1" s="14"/>
      <c r="Q1" s="14"/>
      <c r="R1" s="32"/>
      <c r="S1" s="32"/>
      <c r="T1" s="32"/>
      <c r="U1" s="32"/>
      <c r="V1" s="32"/>
      <c r="W1" s="32"/>
      <c r="X1" s="32"/>
    </row>
    <row r="2" spans="1:24" ht="12" customHeight="1">
      <c r="A2" s="110"/>
      <c r="B2" s="111"/>
      <c r="C2" s="111"/>
      <c r="D2" s="99" t="str">
        <f>改訂履歴!N2</f>
        <v>請求書発行システム</v>
      </c>
      <c r="E2" s="100"/>
      <c r="F2" s="100"/>
      <c r="G2" s="100"/>
      <c r="H2" s="100"/>
      <c r="I2" s="100"/>
      <c r="J2" s="10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3"/>
      <c r="B3" s="14"/>
      <c r="C3" s="14"/>
      <c r="D3" s="15"/>
      <c r="E3" s="14"/>
      <c r="F3" s="14"/>
      <c r="G3" s="14"/>
      <c r="H3" s="14"/>
      <c r="I3" s="14"/>
      <c r="J3" s="24"/>
      <c r="K3" s="14"/>
      <c r="L3" s="14"/>
      <c r="M3" s="14"/>
      <c r="N3" s="14"/>
      <c r="O3" s="14"/>
      <c r="P3" s="14"/>
      <c r="Q3" s="14"/>
      <c r="R3" s="32"/>
      <c r="S3" s="32"/>
      <c r="T3" s="32"/>
      <c r="U3" s="32"/>
      <c r="V3" s="32"/>
      <c r="W3" s="32"/>
      <c r="X3" s="32"/>
    </row>
    <row r="4" spans="1:24">
      <c r="A4" s="102" t="s">
        <v>6</v>
      </c>
      <c r="B4" s="103"/>
      <c r="C4" s="16" t="str">
        <f>改訂履歴!E4</f>
        <v>請求システム</v>
      </c>
      <c r="D4" s="17" t="s">
        <v>8</v>
      </c>
      <c r="E4" s="10" t="str">
        <f>改訂履歴!Q4</f>
        <v>BillingSystem</v>
      </c>
      <c r="F4" s="12"/>
      <c r="G4" s="12"/>
      <c r="H4" s="12"/>
      <c r="I4" s="12"/>
      <c r="J4" s="2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4.5" customHeight="1"/>
    <row r="6" spans="1:24" ht="18.75" customHeight="1">
      <c r="A6" s="104" t="s">
        <v>19</v>
      </c>
      <c r="B6" s="104"/>
      <c r="C6" s="105" t="s">
        <v>255</v>
      </c>
      <c r="D6" s="106"/>
      <c r="E6" s="107"/>
      <c r="F6" s="104" t="s">
        <v>12</v>
      </c>
      <c r="G6" s="104"/>
      <c r="H6" s="105" t="str">
        <f>改訂履歴!Q6</f>
        <v>dbo</v>
      </c>
      <c r="I6" s="106"/>
      <c r="J6" s="107"/>
      <c r="K6" s="25"/>
      <c r="L6" s="25"/>
      <c r="M6" s="25"/>
      <c r="N6" s="25"/>
      <c r="O6" s="25"/>
      <c r="P6" s="25"/>
    </row>
    <row r="7" spans="1:24" ht="18.75" customHeight="1">
      <c r="A7" s="104" t="s">
        <v>21</v>
      </c>
      <c r="B7" s="104"/>
      <c r="C7" s="105" t="s">
        <v>256</v>
      </c>
      <c r="D7" s="106"/>
      <c r="E7" s="107"/>
      <c r="F7" s="104" t="s">
        <v>23</v>
      </c>
      <c r="G7" s="104"/>
      <c r="H7" s="105"/>
      <c r="I7" s="106"/>
      <c r="J7" s="107"/>
      <c r="K7" s="25"/>
      <c r="L7" s="25"/>
      <c r="M7" s="25"/>
      <c r="N7" s="25"/>
      <c r="O7" s="25"/>
      <c r="P7" s="25"/>
    </row>
    <row r="8" spans="1:24" ht="10.5" customHeight="1"/>
    <row r="9" spans="1:24" s="6" customFormat="1" ht="18.75" customHeight="1">
      <c r="A9" s="18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26"/>
      <c r="L9" s="112" t="s">
        <v>34</v>
      </c>
      <c r="M9" s="112"/>
      <c r="N9" s="112"/>
      <c r="O9" s="112"/>
      <c r="P9" s="112"/>
    </row>
    <row r="10" spans="1:24" s="7" customFormat="1" ht="15.75" customHeight="1">
      <c r="A10" s="19">
        <f t="shared" ref="A10:A41" si="0">ROW()-10</f>
        <v>0</v>
      </c>
      <c r="B10" s="20" t="s">
        <v>69</v>
      </c>
      <c r="C10" s="21" t="s">
        <v>69</v>
      </c>
      <c r="D10" s="20" t="s">
        <v>37</v>
      </c>
      <c r="E10" s="20" t="s">
        <v>52</v>
      </c>
      <c r="F10" s="20"/>
      <c r="G10" s="20"/>
      <c r="H10" s="20"/>
      <c r="I10" s="20"/>
      <c r="J10" s="20"/>
      <c r="K10" s="26"/>
      <c r="L10" s="27" t="s">
        <v>39</v>
      </c>
      <c r="M10" s="20"/>
      <c r="N10" s="20"/>
      <c r="O10" s="20"/>
      <c r="P10" s="20"/>
    </row>
    <row r="11" spans="1:24" s="7" customFormat="1" ht="15.75" customHeight="1">
      <c r="A11" s="19">
        <f t="shared" si="0"/>
        <v>1</v>
      </c>
      <c r="B11" s="22" t="s">
        <v>255</v>
      </c>
      <c r="C11" s="22" t="s">
        <v>257</v>
      </c>
      <c r="D11" s="22"/>
      <c r="E11" s="20" t="s">
        <v>258</v>
      </c>
      <c r="F11" s="20" t="s">
        <v>259</v>
      </c>
      <c r="G11" s="22"/>
      <c r="H11" s="22"/>
      <c r="I11" s="20"/>
      <c r="J11" s="20"/>
      <c r="K11" s="26"/>
      <c r="L11" s="27" t="s">
        <v>42</v>
      </c>
      <c r="M11" s="21"/>
      <c r="N11" s="28"/>
      <c r="O11" s="28"/>
      <c r="P11" s="28"/>
    </row>
    <row r="12" spans="1:24" s="7" customFormat="1" ht="15.75" customHeight="1">
      <c r="A12" s="19">
        <f t="shared" si="0"/>
        <v>2</v>
      </c>
      <c r="B12" s="21" t="s">
        <v>50</v>
      </c>
      <c r="C12" s="21" t="s">
        <v>51</v>
      </c>
      <c r="D12" s="20"/>
      <c r="E12" s="20" t="s">
        <v>52</v>
      </c>
      <c r="F12" s="20"/>
      <c r="G12" s="20"/>
      <c r="H12" s="20" t="s">
        <v>37</v>
      </c>
      <c r="I12" s="29"/>
      <c r="J12" s="30"/>
      <c r="K12" s="26"/>
      <c r="L12" s="27" t="s">
        <v>45</v>
      </c>
      <c r="M12" s="21"/>
      <c r="N12" s="28"/>
      <c r="O12" s="28"/>
      <c r="P12" s="28"/>
    </row>
    <row r="13" spans="1:24" s="7" customFormat="1" ht="15.75" customHeight="1">
      <c r="A13" s="19">
        <f t="shared" si="0"/>
        <v>3</v>
      </c>
      <c r="B13" s="21" t="s">
        <v>54</v>
      </c>
      <c r="C13" s="21" t="s">
        <v>55</v>
      </c>
      <c r="D13" s="20"/>
      <c r="E13" s="20" t="s">
        <v>56</v>
      </c>
      <c r="F13" s="20"/>
      <c r="G13" s="20"/>
      <c r="H13" s="20" t="s">
        <v>37</v>
      </c>
      <c r="I13" s="20"/>
      <c r="J13" s="20"/>
      <c r="K13" s="26"/>
      <c r="L13" s="27" t="s">
        <v>49</v>
      </c>
      <c r="M13" s="28"/>
      <c r="N13" s="28"/>
      <c r="O13" s="28"/>
      <c r="P13" s="28"/>
    </row>
    <row r="14" spans="1:24" s="7" customFormat="1" ht="15.75" customHeight="1">
      <c r="A14" s="19">
        <f t="shared" si="0"/>
        <v>4</v>
      </c>
      <c r="B14" s="21" t="s">
        <v>58</v>
      </c>
      <c r="C14" s="21" t="s">
        <v>59</v>
      </c>
      <c r="D14" s="20"/>
      <c r="E14" s="20" t="s">
        <v>52</v>
      </c>
      <c r="F14" s="20"/>
      <c r="G14" s="20"/>
      <c r="H14" s="20" t="s">
        <v>37</v>
      </c>
      <c r="I14" s="20"/>
      <c r="J14" s="20"/>
      <c r="K14" s="26"/>
      <c r="L14" s="27" t="s">
        <v>53</v>
      </c>
      <c r="M14" s="28"/>
      <c r="N14" s="28"/>
      <c r="O14" s="28"/>
      <c r="P14" s="28"/>
    </row>
    <row r="15" spans="1:24" s="7" customFormat="1" ht="15.75" customHeight="1">
      <c r="A15" s="19">
        <f t="shared" si="0"/>
        <v>5</v>
      </c>
      <c r="B15" s="21" t="s">
        <v>61</v>
      </c>
      <c r="C15" s="21" t="s">
        <v>62</v>
      </c>
      <c r="D15" s="20"/>
      <c r="E15" s="20" t="s">
        <v>56</v>
      </c>
      <c r="F15" s="20"/>
      <c r="G15" s="20"/>
      <c r="H15" s="20" t="s">
        <v>37</v>
      </c>
      <c r="I15" s="29"/>
      <c r="J15" s="20"/>
      <c r="K15" s="26"/>
      <c r="L15" s="27" t="s">
        <v>57</v>
      </c>
      <c r="M15" s="28"/>
      <c r="N15" s="28"/>
      <c r="O15" s="28"/>
      <c r="P15" s="28"/>
    </row>
    <row r="16" spans="1:24" s="7" customFormat="1" ht="15.75" customHeight="1">
      <c r="A16" s="19">
        <f t="shared" si="0"/>
        <v>6</v>
      </c>
      <c r="B16" s="21" t="s">
        <v>85</v>
      </c>
      <c r="C16" s="21" t="s">
        <v>85</v>
      </c>
      <c r="D16" s="20"/>
      <c r="E16" s="20" t="s">
        <v>48</v>
      </c>
      <c r="F16" s="20"/>
      <c r="G16" s="20"/>
      <c r="H16" s="20"/>
      <c r="I16" s="20">
        <v>0</v>
      </c>
      <c r="J16" s="20"/>
      <c r="K16" s="26"/>
      <c r="L16" s="27" t="s">
        <v>60</v>
      </c>
      <c r="M16" s="28"/>
      <c r="N16" s="28"/>
      <c r="O16" s="28"/>
      <c r="P16" s="28"/>
    </row>
    <row r="17" spans="1:28" s="7" customFormat="1" ht="15.75" customHeight="1">
      <c r="A17" s="19">
        <f t="shared" si="0"/>
        <v>7</v>
      </c>
      <c r="B17" s="21"/>
      <c r="C17" s="21"/>
      <c r="D17" s="20"/>
      <c r="E17" s="20"/>
      <c r="F17" s="20"/>
      <c r="G17" s="20"/>
      <c r="H17" s="20"/>
      <c r="I17" s="20"/>
      <c r="J17" s="30"/>
      <c r="K17" s="26"/>
      <c r="L17" s="27" t="s">
        <v>63</v>
      </c>
      <c r="M17" s="28"/>
      <c r="N17" s="28"/>
      <c r="O17" s="28"/>
      <c r="P17" s="28"/>
    </row>
    <row r="18" spans="1:28" s="7" customFormat="1" ht="15.75" customHeight="1">
      <c r="A18" s="19">
        <f t="shared" si="0"/>
        <v>8</v>
      </c>
      <c r="B18" s="21"/>
      <c r="C18" s="21"/>
      <c r="D18" s="20"/>
      <c r="E18" s="20"/>
      <c r="F18" s="20"/>
      <c r="G18" s="20"/>
      <c r="H18" s="20"/>
      <c r="I18" s="29"/>
      <c r="J18" s="20"/>
      <c r="K18" s="26"/>
      <c r="L18" s="27" t="s">
        <v>64</v>
      </c>
      <c r="M18" s="28"/>
      <c r="N18" s="28"/>
      <c r="O18" s="28"/>
      <c r="P18" s="28"/>
    </row>
    <row r="19" spans="1:28" s="7" customFormat="1" ht="15.75" customHeight="1">
      <c r="A19" s="19">
        <f t="shared" si="0"/>
        <v>9</v>
      </c>
      <c r="B19" s="21"/>
      <c r="C19" s="21"/>
      <c r="D19" s="20"/>
      <c r="E19" s="20"/>
      <c r="F19" s="20"/>
      <c r="G19" s="20"/>
      <c r="H19" s="20"/>
      <c r="I19" s="20"/>
      <c r="J19" s="20"/>
      <c r="K19" s="26"/>
      <c r="L19" s="27" t="s">
        <v>65</v>
      </c>
      <c r="M19" s="28"/>
      <c r="N19" s="28"/>
      <c r="O19" s="28"/>
      <c r="P19" s="28"/>
    </row>
    <row r="20" spans="1:28" s="7" customFormat="1" ht="15.75" customHeight="1">
      <c r="A20" s="19">
        <f t="shared" si="0"/>
        <v>10</v>
      </c>
      <c r="B20" s="21"/>
      <c r="C20" s="21"/>
      <c r="D20" s="20"/>
      <c r="E20" s="20"/>
      <c r="F20" s="20"/>
      <c r="G20" s="20"/>
      <c r="H20" s="20"/>
      <c r="I20" s="20"/>
      <c r="J20" s="20"/>
      <c r="K20" s="26"/>
      <c r="L20" s="27" t="s">
        <v>66</v>
      </c>
      <c r="M20" s="28"/>
      <c r="N20" s="28"/>
      <c r="O20" s="28"/>
      <c r="P20" s="28"/>
    </row>
    <row r="21" spans="1:28" s="7" customFormat="1" ht="15.75" customHeight="1">
      <c r="A21" s="19">
        <f t="shared" si="0"/>
        <v>11</v>
      </c>
      <c r="B21" s="21"/>
      <c r="C21" s="21"/>
      <c r="D21" s="20"/>
      <c r="E21" s="20"/>
      <c r="F21" s="20"/>
      <c r="G21" s="20"/>
      <c r="H21" s="20"/>
      <c r="I21" s="20"/>
      <c r="J21" s="20"/>
      <c r="K21" s="26"/>
      <c r="L21" s="25"/>
      <c r="N21" s="31"/>
    </row>
    <row r="22" spans="1:28" s="7" customFormat="1" ht="15.75" customHeight="1">
      <c r="A22" s="19">
        <f t="shared" si="0"/>
        <v>12</v>
      </c>
      <c r="B22" s="21"/>
      <c r="C22" s="21"/>
      <c r="D22" s="20"/>
      <c r="E22" s="20"/>
      <c r="F22" s="20"/>
      <c r="G22" s="20"/>
      <c r="H22" s="20"/>
      <c r="I22" s="20"/>
      <c r="J22" s="20"/>
      <c r="K22" s="26"/>
      <c r="L22" s="25"/>
      <c r="N22" s="31"/>
    </row>
    <row r="23" spans="1:28" s="7" customFormat="1" ht="15.75" customHeight="1">
      <c r="A23" s="19">
        <f t="shared" si="0"/>
        <v>13</v>
      </c>
      <c r="B23" s="21"/>
      <c r="C23" s="21"/>
      <c r="D23" s="20"/>
      <c r="E23" s="20"/>
      <c r="F23" s="20"/>
      <c r="G23" s="20"/>
      <c r="H23" s="20"/>
      <c r="I23" s="29"/>
      <c r="J23" s="30"/>
      <c r="K23" s="26"/>
      <c r="L23" s="25"/>
      <c r="N23" s="31"/>
    </row>
    <row r="24" spans="1:28" s="7" customFormat="1" ht="15.75" customHeight="1">
      <c r="A24" s="19">
        <f t="shared" si="0"/>
        <v>14</v>
      </c>
      <c r="B24" s="21"/>
      <c r="C24" s="21"/>
      <c r="D24" s="20"/>
      <c r="E24" s="20"/>
      <c r="F24" s="20"/>
      <c r="G24" s="20"/>
      <c r="H24" s="20"/>
      <c r="I24" s="20"/>
      <c r="J24" s="20"/>
      <c r="K24" s="26"/>
      <c r="L24" s="25"/>
      <c r="N24" s="31"/>
    </row>
    <row r="25" spans="1:28" s="7" customFormat="1" ht="15.75" customHeight="1">
      <c r="A25" s="19">
        <f t="shared" si="0"/>
        <v>15</v>
      </c>
      <c r="B25" s="21"/>
      <c r="C25" s="21"/>
      <c r="D25" s="20"/>
      <c r="E25" s="20"/>
      <c r="F25" s="20"/>
      <c r="G25" s="20"/>
      <c r="H25" s="20"/>
      <c r="I25" s="20"/>
      <c r="J25" s="20"/>
      <c r="K25" s="26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B25" s="31"/>
    </row>
    <row r="26" spans="1:28" s="7" customFormat="1" ht="15.75" customHeight="1">
      <c r="A26" s="19">
        <f t="shared" si="0"/>
        <v>16</v>
      </c>
      <c r="B26" s="21"/>
      <c r="C26" s="21"/>
      <c r="D26" s="20"/>
      <c r="E26" s="20"/>
      <c r="F26" s="20"/>
      <c r="G26" s="20"/>
      <c r="H26" s="20"/>
      <c r="I26" s="20"/>
      <c r="J26" s="20"/>
      <c r="K26" s="26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B26" s="31"/>
    </row>
    <row r="27" spans="1:28" s="7" customFormat="1" ht="15.75" customHeight="1">
      <c r="A27" s="19">
        <f t="shared" si="0"/>
        <v>17</v>
      </c>
      <c r="B27" s="21"/>
      <c r="C27" s="21"/>
      <c r="D27" s="20"/>
      <c r="E27" s="20"/>
      <c r="F27" s="20"/>
      <c r="G27" s="20"/>
      <c r="H27" s="20"/>
      <c r="I27" s="20"/>
      <c r="J27" s="20"/>
      <c r="K27" s="26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B27" s="31"/>
    </row>
    <row r="28" spans="1:28" s="7" customFormat="1" ht="15.75" customHeight="1">
      <c r="A28" s="19">
        <f t="shared" si="0"/>
        <v>18</v>
      </c>
      <c r="B28" s="21"/>
      <c r="C28" s="21"/>
      <c r="D28" s="20"/>
      <c r="E28" s="22"/>
      <c r="F28" s="20"/>
      <c r="G28" s="20"/>
      <c r="H28" s="20"/>
      <c r="I28" s="20"/>
      <c r="J28" s="20"/>
      <c r="K28" s="26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31"/>
    </row>
    <row r="29" spans="1:28" s="7" customFormat="1" ht="15.75" customHeight="1">
      <c r="A29" s="19">
        <f t="shared" si="0"/>
        <v>19</v>
      </c>
      <c r="B29" s="20"/>
      <c r="C29" s="21"/>
      <c r="D29" s="20"/>
      <c r="E29" s="20"/>
      <c r="F29" s="20"/>
      <c r="G29" s="20"/>
      <c r="H29" s="20"/>
      <c r="I29" s="29"/>
      <c r="J29" s="20"/>
      <c r="K29" s="26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31"/>
    </row>
    <row r="30" spans="1:28" s="7" customFormat="1" ht="15.75" customHeight="1">
      <c r="A30" s="19">
        <f t="shared" si="0"/>
        <v>20</v>
      </c>
      <c r="B30" s="21"/>
      <c r="C30" s="21"/>
      <c r="D30" s="20"/>
      <c r="E30" s="20"/>
      <c r="F30" s="20"/>
      <c r="G30" s="20"/>
      <c r="H30" s="20"/>
      <c r="I30" s="29"/>
      <c r="J30" s="30"/>
      <c r="K30" s="26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B30" s="31"/>
    </row>
    <row r="31" spans="1:28" s="7" customFormat="1" ht="15.75" customHeight="1">
      <c r="A31" s="19">
        <f t="shared" si="0"/>
        <v>21</v>
      </c>
      <c r="B31" s="21"/>
      <c r="C31" s="21"/>
      <c r="D31" s="20"/>
      <c r="E31" s="20"/>
      <c r="F31" s="20"/>
      <c r="G31" s="20"/>
      <c r="H31" s="20"/>
      <c r="I31" s="29"/>
      <c r="J31" s="20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B31" s="31"/>
    </row>
    <row r="32" spans="1:28" s="7" customFormat="1" ht="15.75" customHeight="1">
      <c r="A32" s="19">
        <f t="shared" si="0"/>
        <v>22</v>
      </c>
      <c r="B32" s="21"/>
      <c r="C32" s="21"/>
      <c r="D32" s="20"/>
      <c r="E32" s="20"/>
      <c r="F32" s="20"/>
      <c r="G32" s="20"/>
      <c r="H32" s="20"/>
      <c r="I32" s="20"/>
      <c r="J32" s="20"/>
      <c r="K32" s="26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31"/>
    </row>
    <row r="33" spans="1:28" s="7" customFormat="1" ht="15.75" customHeight="1">
      <c r="A33" s="19">
        <f t="shared" si="0"/>
        <v>23</v>
      </c>
      <c r="B33" s="21"/>
      <c r="C33" s="21"/>
      <c r="D33" s="20"/>
      <c r="E33" s="20"/>
      <c r="F33" s="20"/>
      <c r="G33" s="20"/>
      <c r="H33" s="20"/>
      <c r="I33" s="20"/>
      <c r="J33" s="20"/>
      <c r="K33" s="26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31"/>
    </row>
    <row r="34" spans="1:28" s="7" customFormat="1" ht="15.75" customHeight="1">
      <c r="A34" s="19">
        <f t="shared" si="0"/>
        <v>24</v>
      </c>
      <c r="B34" s="21"/>
      <c r="C34" s="21"/>
      <c r="D34" s="20"/>
      <c r="E34" s="20"/>
      <c r="F34" s="20"/>
      <c r="G34" s="20"/>
      <c r="H34" s="20"/>
      <c r="I34" s="20"/>
      <c r="J34" s="20"/>
      <c r="K34" s="26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B34" s="31"/>
    </row>
    <row r="35" spans="1:28" s="7" customFormat="1" ht="15.75" customHeight="1">
      <c r="A35" s="19">
        <f t="shared" si="0"/>
        <v>25</v>
      </c>
      <c r="B35" s="21"/>
      <c r="C35" s="21"/>
      <c r="D35" s="20"/>
      <c r="E35" s="20"/>
      <c r="F35" s="20"/>
      <c r="G35" s="20"/>
      <c r="H35" s="20"/>
      <c r="I35" s="20"/>
      <c r="J35" s="20"/>
      <c r="K35" s="26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31"/>
    </row>
    <row r="36" spans="1:28" s="7" customFormat="1" ht="15.75" customHeight="1">
      <c r="A36" s="19">
        <f t="shared" si="0"/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6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31"/>
    </row>
    <row r="37" spans="1:28" s="7" customFormat="1" ht="15.75" customHeight="1">
      <c r="A37" s="19">
        <f t="shared" si="0"/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6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31"/>
    </row>
    <row r="38" spans="1:28" s="7" customFormat="1" ht="15.75" customHeight="1">
      <c r="A38" s="19">
        <f t="shared" si="0"/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31"/>
    </row>
    <row r="39" spans="1:28" s="7" customFormat="1" ht="15.75" customHeight="1">
      <c r="A39" s="19">
        <f t="shared" si="0"/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6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31"/>
    </row>
    <row r="40" spans="1:28" s="7" customFormat="1" ht="15.75" customHeight="1">
      <c r="A40" s="19">
        <f t="shared" si="0"/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6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B40" s="31"/>
    </row>
    <row r="41" spans="1:28" s="7" customFormat="1" ht="15.75" customHeight="1">
      <c r="A41" s="19">
        <f t="shared" si="0"/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6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B41" s="31"/>
    </row>
  </sheetData>
  <mergeCells count="12">
    <mergeCell ref="A7:B7"/>
    <mergeCell ref="C7:E7"/>
    <mergeCell ref="F7:G7"/>
    <mergeCell ref="H7:J7"/>
    <mergeCell ref="L9:P9"/>
    <mergeCell ref="D2:J2"/>
    <mergeCell ref="A4:B4"/>
    <mergeCell ref="A6:B6"/>
    <mergeCell ref="C6:E6"/>
    <mergeCell ref="F6:G6"/>
    <mergeCell ref="H6:J6"/>
    <mergeCell ref="A1:C2"/>
  </mergeCells>
  <phoneticPr fontId="8"/>
  <dataValidations count="2">
    <dataValidation allowBlank="1" showInputMessage="1" showErrorMessage="1" sqref="C10 J12 B16:C16 B17 C17 J17 B22:C22 J23 B27:C27 B28 C28 B30 J30 B35:C35 B12:B15 B18:B21 B23:B26 B31:B34 C12:C15 C18:C21 C23:C26 C29:C30 C31:C34 M11:M12"/>
    <dataValidation type="list" allowBlank="1" showInputMessage="1" showErrorMessage="1" sqref="D10 H10 M10:P10 D11 H11 D16 H16 D17 H17 D28 H28 D12:D15 D18:D22 D23:D27 D29:D30 D31:D35 D36:D41 H12:H15 H18:H22 H23:H27 H29:H30 H31:H35 H36:H41">
      <formula1>"○"</formula1>
    </dataValidation>
  </dataValidations>
  <pageMargins left="0.69930555555555596" right="0.69930555555555596" top="0.75" bottom="0.75" header="0.3" footer="0.3"/>
  <pageSetup paperSize="9" scale="52" orientation="portrait" r:id="rId1"/>
  <colBreaks count="1" manualBreakCount="1">
    <brk id="16" max="40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説明!$B$4:$B$29</xm:f>
          </x14:formula1>
          <xm:sqref>E10 E11 E16 E17 E28 E29 E30 E12:E15 E18:E22 E23:E27 E31:E35 E36:E41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9"/>
  <sheetViews>
    <sheetView showGridLines="0" workbookViewId="0">
      <selection activeCell="C22" sqref="C22"/>
    </sheetView>
  </sheetViews>
  <sheetFormatPr defaultColWidth="9" defaultRowHeight="12"/>
  <cols>
    <col min="1" max="1" width="15.19921875" style="1" customWidth="1"/>
    <col min="2" max="2" width="14.19921875" style="1" customWidth="1"/>
    <col min="3" max="3" width="75.69921875" style="1" customWidth="1"/>
    <col min="4" max="4" width="17.8984375" style="1" customWidth="1"/>
    <col min="5" max="5" width="35.19921875" style="1" customWidth="1"/>
    <col min="6" max="16384" width="9" style="2"/>
  </cols>
  <sheetData>
    <row r="2" spans="1:4">
      <c r="A2" s="116" t="s">
        <v>260</v>
      </c>
      <c r="B2" s="116"/>
      <c r="C2" s="116"/>
      <c r="D2" s="116"/>
    </row>
    <row r="3" spans="1:4" ht="24">
      <c r="A3" s="3"/>
      <c r="B3" s="3" t="s">
        <v>261</v>
      </c>
      <c r="C3" s="3" t="s">
        <v>262</v>
      </c>
      <c r="D3" s="3" t="s">
        <v>263</v>
      </c>
    </row>
    <row r="4" spans="1:4" ht="24">
      <c r="A4" s="113" t="s">
        <v>264</v>
      </c>
      <c r="B4" s="4" t="s">
        <v>52</v>
      </c>
      <c r="C4" s="5" t="s">
        <v>265</v>
      </c>
      <c r="D4" s="5">
        <v>8</v>
      </c>
    </row>
    <row r="5" spans="1:4">
      <c r="A5" s="114"/>
      <c r="B5" s="4" t="s">
        <v>48</v>
      </c>
      <c r="C5" s="5" t="s">
        <v>266</v>
      </c>
      <c r="D5" s="5">
        <v>4</v>
      </c>
    </row>
    <row r="6" spans="1:4">
      <c r="A6" s="114"/>
      <c r="B6" s="4" t="s">
        <v>267</v>
      </c>
      <c r="C6" s="5" t="s">
        <v>268</v>
      </c>
      <c r="D6" s="5">
        <v>2</v>
      </c>
    </row>
    <row r="7" spans="1:4">
      <c r="A7" s="114"/>
      <c r="B7" s="4" t="s">
        <v>269</v>
      </c>
      <c r="C7" s="5" t="s">
        <v>270</v>
      </c>
      <c r="D7" s="5">
        <v>1</v>
      </c>
    </row>
    <row r="8" spans="1:4">
      <c r="A8" s="114"/>
      <c r="B8" s="4" t="s">
        <v>271</v>
      </c>
      <c r="C8" s="5" t="s">
        <v>272</v>
      </c>
      <c r="D8" s="5"/>
    </row>
    <row r="9" spans="1:4">
      <c r="A9" s="114"/>
      <c r="B9" s="4" t="s">
        <v>98</v>
      </c>
      <c r="C9" s="5" t="s">
        <v>273</v>
      </c>
      <c r="D9" s="5" t="s">
        <v>274</v>
      </c>
    </row>
    <row r="10" spans="1:4">
      <c r="A10" s="115"/>
      <c r="B10" s="4" t="s">
        <v>275</v>
      </c>
      <c r="C10" s="5" t="s">
        <v>276</v>
      </c>
      <c r="D10" s="5"/>
    </row>
    <row r="11" spans="1:4" ht="24">
      <c r="A11" s="113" t="s">
        <v>277</v>
      </c>
      <c r="B11" s="4" t="s">
        <v>278</v>
      </c>
      <c r="C11" s="5" t="s">
        <v>279</v>
      </c>
      <c r="D11" s="5" t="s">
        <v>274</v>
      </c>
    </row>
    <row r="12" spans="1:4">
      <c r="A12" s="115"/>
      <c r="B12" s="4" t="s">
        <v>280</v>
      </c>
      <c r="C12" s="5" t="s">
        <v>281</v>
      </c>
      <c r="D12" s="5">
        <v>4</v>
      </c>
    </row>
    <row r="13" spans="1:4" ht="24">
      <c r="A13" s="113" t="s">
        <v>282</v>
      </c>
      <c r="B13" s="4" t="s">
        <v>283</v>
      </c>
      <c r="C13" s="5" t="s">
        <v>284</v>
      </c>
      <c r="D13" s="5">
        <v>8</v>
      </c>
    </row>
    <row r="14" spans="1:4" ht="24">
      <c r="A14" s="115"/>
      <c r="B14" s="4" t="s">
        <v>285</v>
      </c>
      <c r="C14" s="5" t="s">
        <v>286</v>
      </c>
      <c r="D14" s="5">
        <v>4</v>
      </c>
    </row>
    <row r="15" spans="1:4">
      <c r="A15" s="113" t="s">
        <v>287</v>
      </c>
      <c r="B15" s="4" t="s">
        <v>145</v>
      </c>
      <c r="C15" s="5" t="s">
        <v>288</v>
      </c>
      <c r="D15" s="5">
        <v>3</v>
      </c>
    </row>
    <row r="16" spans="1:4" ht="24">
      <c r="A16" s="114"/>
      <c r="B16" s="4" t="s">
        <v>289</v>
      </c>
      <c r="C16" s="5" t="s">
        <v>290</v>
      </c>
      <c r="D16" s="5" t="s">
        <v>291</v>
      </c>
    </row>
    <row r="17" spans="1:4">
      <c r="A17" s="114"/>
      <c r="B17" s="4" t="s">
        <v>228</v>
      </c>
      <c r="C17" s="5" t="s">
        <v>292</v>
      </c>
      <c r="D17" s="5">
        <v>8</v>
      </c>
    </row>
    <row r="18" spans="1:4" ht="24">
      <c r="A18" s="114"/>
      <c r="B18" s="4" t="s">
        <v>56</v>
      </c>
      <c r="C18" s="5" t="s">
        <v>293</v>
      </c>
      <c r="D18" s="5" t="s">
        <v>274</v>
      </c>
    </row>
    <row r="19" spans="1:4" ht="24">
      <c r="A19" s="114"/>
      <c r="B19" s="4" t="s">
        <v>294</v>
      </c>
      <c r="C19" s="5" t="s">
        <v>295</v>
      </c>
      <c r="D19" s="5">
        <v>4</v>
      </c>
    </row>
    <row r="20" spans="1:4" ht="24">
      <c r="A20" s="115"/>
      <c r="B20" s="4" t="s">
        <v>296</v>
      </c>
      <c r="C20" s="5" t="s">
        <v>297</v>
      </c>
      <c r="D20" s="5" t="s">
        <v>298</v>
      </c>
    </row>
    <row r="21" spans="1:4">
      <c r="A21" s="113" t="s">
        <v>299</v>
      </c>
      <c r="B21" s="4" t="s">
        <v>300</v>
      </c>
      <c r="C21" s="5" t="s">
        <v>301</v>
      </c>
      <c r="D21" s="5" t="s">
        <v>302</v>
      </c>
    </row>
    <row r="22" spans="1:4" ht="24">
      <c r="A22" s="114"/>
      <c r="B22" s="4" t="s">
        <v>152</v>
      </c>
      <c r="C22" s="5" t="s">
        <v>303</v>
      </c>
      <c r="D22" s="5" t="s">
        <v>304</v>
      </c>
    </row>
    <row r="23" spans="1:4" ht="72">
      <c r="A23" s="115"/>
      <c r="B23" s="4" t="s">
        <v>305</v>
      </c>
      <c r="C23" s="5" t="s">
        <v>306</v>
      </c>
      <c r="D23" s="5" t="s">
        <v>307</v>
      </c>
    </row>
    <row r="24" spans="1:4">
      <c r="A24" s="113" t="s">
        <v>308</v>
      </c>
      <c r="B24" s="4" t="s">
        <v>309</v>
      </c>
      <c r="C24" s="5" t="s">
        <v>310</v>
      </c>
      <c r="D24" s="5" t="s">
        <v>311</v>
      </c>
    </row>
    <row r="25" spans="1:4" ht="24">
      <c r="A25" s="114"/>
      <c r="B25" s="4" t="s">
        <v>38</v>
      </c>
      <c r="C25" s="5" t="s">
        <v>312</v>
      </c>
      <c r="D25" s="5" t="s">
        <v>313</v>
      </c>
    </row>
    <row r="26" spans="1:4" ht="24">
      <c r="A26" s="115"/>
      <c r="B26" s="4" t="s">
        <v>314</v>
      </c>
      <c r="C26" s="5" t="s">
        <v>315</v>
      </c>
      <c r="D26" s="5" t="s">
        <v>316</v>
      </c>
    </row>
    <row r="27" spans="1:4">
      <c r="A27" s="113" t="s">
        <v>317</v>
      </c>
      <c r="B27" s="4" t="s">
        <v>318</v>
      </c>
      <c r="C27" s="5" t="s">
        <v>319</v>
      </c>
      <c r="D27" s="5" t="s">
        <v>302</v>
      </c>
    </row>
    <row r="28" spans="1:4" ht="24">
      <c r="A28" s="114"/>
      <c r="B28" s="4" t="s">
        <v>258</v>
      </c>
      <c r="C28" s="5" t="s">
        <v>320</v>
      </c>
      <c r="D28" s="5" t="s">
        <v>304</v>
      </c>
    </row>
    <row r="29" spans="1:4">
      <c r="A29" s="115"/>
      <c r="B29" s="4" t="s">
        <v>321</v>
      </c>
      <c r="C29" s="5" t="s">
        <v>322</v>
      </c>
      <c r="D29" s="5"/>
    </row>
  </sheetData>
  <mergeCells count="8">
    <mergeCell ref="A21:A23"/>
    <mergeCell ref="A24:A26"/>
    <mergeCell ref="A27:A29"/>
    <mergeCell ref="A2:D2"/>
    <mergeCell ref="A4:A10"/>
    <mergeCell ref="A11:A12"/>
    <mergeCell ref="A13:A14"/>
    <mergeCell ref="A15:A20"/>
  </mergeCells>
  <phoneticPr fontId="8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13</vt:i4>
      </vt:variant>
    </vt:vector>
  </HeadingPairs>
  <TitlesOfParts>
    <vt:vector size="28" baseType="lpstr">
      <vt:lpstr>改訂履歴</vt:lpstr>
      <vt:lpstr>コードマスタ</vt:lpstr>
      <vt:lpstr>口座マスタ</vt:lpstr>
      <vt:lpstr>会社マスタ</vt:lpstr>
      <vt:lpstr>ユーザーマスタ</vt:lpstr>
      <vt:lpstr>作業員マスタ</vt:lpstr>
      <vt:lpstr>社員プロジェクトマスタ</vt:lpstr>
      <vt:lpstr>請求先マスタ</vt:lpstr>
      <vt:lpstr>部署マスタ</vt:lpstr>
      <vt:lpstr>プロジェクトマスタ</vt:lpstr>
      <vt:lpstr>支払区分</vt:lpstr>
      <vt:lpstr>請求書</vt:lpstr>
      <vt:lpstr>請求書明細</vt:lpstr>
      <vt:lpstr>ファイルデータ</vt:lpstr>
      <vt:lpstr>説明</vt:lpstr>
      <vt:lpstr>コードマスタ!Print_Area</vt:lpstr>
      <vt:lpstr>ファイルデータ!Print_Area</vt:lpstr>
      <vt:lpstr>プロジェクトマスタ!Print_Area</vt:lpstr>
      <vt:lpstr>ユーザーマスタ!Print_Area</vt:lpstr>
      <vt:lpstr>会社マスタ!Print_Area</vt:lpstr>
      <vt:lpstr>口座マスタ!Print_Area</vt:lpstr>
      <vt:lpstr>作業員マスタ!Print_Area</vt:lpstr>
      <vt:lpstr>支払区分!Print_Area</vt:lpstr>
      <vt:lpstr>社員プロジェクトマスタ!Print_Area</vt:lpstr>
      <vt:lpstr>請求書!Print_Area</vt:lpstr>
      <vt:lpstr>請求書明細!Print_Area</vt:lpstr>
      <vt:lpstr>請求先マスタ!Print_Area</vt:lpstr>
      <vt:lpstr>部署マスタ!Print_Area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yexing</dc:creator>
  <cp:lastModifiedBy>dongm.cha</cp:lastModifiedBy>
  <dcterms:created xsi:type="dcterms:W3CDTF">2015-06-05T18:19:00Z</dcterms:created>
  <dcterms:modified xsi:type="dcterms:W3CDTF">2023-11-17T09:47:11Z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2023-10-31T06:05:55Z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cd255560-217b-4cc8-b1ec-eebe75052056</vt:lpwstr>
  </property>
  <property fmtid="{D5CDD505-2E9C-101B-9397-08002B2CF9AE}" pid="8" name="MSIP_Label_a7295cc1-d279-42ac-ab4d-3b0f4fece050_ContentBits">
    <vt:lpwstr>0</vt:lpwstr>
  </property>
  <property fmtid="{D5CDD505-2E9C-101B-9397-08002B2CF9AE}" pid="9" name="KSOProductBuildVer">
    <vt:lpwstr>1041-10.8.0.5771</vt:lpwstr>
  </property>
</Properties>
</file>